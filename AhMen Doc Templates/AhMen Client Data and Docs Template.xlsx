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otticohen/Desktop/invoice_master_dashboard/AhMen Doc Templates/"/>
    </mc:Choice>
  </mc:AlternateContent>
  <xr:revisionPtr revIDLastSave="0" documentId="13_ncr:1_{1BB58532-66BE-C747-A255-31D2F0A40543}" xr6:coauthVersionLast="47" xr6:coauthVersionMax="47" xr10:uidLastSave="{00000000-0000-0000-0000-000000000000}"/>
  <bookViews>
    <workbookView xWindow="60" yWindow="500" windowWidth="27160" windowHeight="28300" activeTab="2" xr2:uid="{B5763DD8-C14C-9E43-BCE3-8FC2FCC62202}"/>
  </bookViews>
  <sheets>
    <sheet name="Client Data" sheetId="3" r:id="rId1"/>
    <sheet name="Quote" sheetId="7" r:id="rId2"/>
    <sheet name="Booking Schedule" sheetId="9" r:id="rId3"/>
    <sheet name="T&amp;Cs" sheetId="11" r:id="rId4"/>
    <sheet name="Invoice - deposit" sheetId="1" r:id="rId5"/>
    <sheet name="Invoice - balance" sheetId="2" r:id="rId6"/>
  </sheets>
  <definedNames>
    <definedName name="Name">'Client Data'!$A:$A</definedName>
    <definedName name="_xlnm.Print_Area" localSheetId="2">'Booking Schedule'!$A$1:$J$44</definedName>
    <definedName name="_xlnm.Print_Area" localSheetId="5">'Invoice - balance'!$A$1:$J$43</definedName>
    <definedName name="_xlnm.Print_Area" localSheetId="4">'Invoice - deposit'!$A$1:$J$43</definedName>
    <definedName name="_xlnm.Print_Area" localSheetId="1">Quote!$A$1:$J$43</definedName>
    <definedName name="_xlnm.Print_Area" localSheetId="3">'T&amp;Cs'!$A$1:$H$72</definedName>
  </definedNames>
  <calcPr calcId="191029" fullCalcOnLoad="1" calcOnSav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<sst xmlns="http://schemas.openxmlformats.org/spreadsheetml/2006/main" count="257" uniqueCount="197">
  <si>
    <t>INVOICE</t>
  </si>
  <si>
    <t xml:space="preserve">AhMen a cappella Ltd </t>
  </si>
  <si>
    <t>2 Alloa Court,</t>
  </si>
  <si>
    <t>139 Ashfield Road,</t>
  </si>
  <si>
    <t>London N14 7PE,</t>
  </si>
  <si>
    <t>UNITED KINGDOM</t>
  </si>
  <si>
    <t>Description</t>
  </si>
  <si>
    <t>Subtotal</t>
  </si>
  <si>
    <t>Due Date:</t>
  </si>
  <si>
    <t>Barclays Bank</t>
  </si>
  <si>
    <t>Sort Code 20 - 45 - 45</t>
  </si>
  <si>
    <t>Acc No. 43781046</t>
  </si>
  <si>
    <t>Acc name: AHMEN a cappella Ltd</t>
  </si>
  <si>
    <t>VAT</t>
  </si>
  <si>
    <t>AhMen performance</t>
  </si>
  <si>
    <t>Payable</t>
  </si>
  <si>
    <t>Name</t>
  </si>
  <si>
    <t>Town</t>
  </si>
  <si>
    <t>Postcode</t>
  </si>
  <si>
    <t>Deposit</t>
  </si>
  <si>
    <t>Balance</t>
  </si>
  <si>
    <t>Balance due</t>
  </si>
  <si>
    <t>Invoice To:</t>
  </si>
  <si>
    <t>Invoice Date:</t>
  </si>
  <si>
    <t>Invoice Number:</t>
  </si>
  <si>
    <t>Reference:</t>
  </si>
  <si>
    <t>BACS Payments to:</t>
  </si>
  <si>
    <t>TOTAL</t>
  </si>
  <si>
    <t>INV-</t>
  </si>
  <si>
    <t xml:space="preserve"> </t>
  </si>
  <si>
    <t>QUOTE</t>
  </si>
  <si>
    <t>Quote Date:</t>
  </si>
  <si>
    <t>Client:</t>
  </si>
  <si>
    <t>Venue</t>
  </si>
  <si>
    <t>BOOKING SCHEDULE</t>
  </si>
  <si>
    <t>Event Start:</t>
  </si>
  <si>
    <t>A) Client &amp; Event</t>
  </si>
  <si>
    <t xml:space="preserve">Mobile: </t>
  </si>
  <si>
    <t>Email:  </t>
  </si>
  <si>
    <t>B) Services</t>
  </si>
  <si>
    <t>C) Facilities &amp; Catering</t>
  </si>
  <si>
    <t>☐</t>
  </si>
  <si>
    <t>Special Requirements (incl. dietary):</t>
  </si>
  <si>
    <t>Meals provided for each performer/staff — Confirmed</t>
  </si>
  <si>
    <r>
      <t>Client Name:</t>
    </r>
    <r>
      <rPr>
        <sz val="12"/>
        <color theme="1"/>
        <rFont val="Arial Unicode MS"/>
        <family val="2"/>
      </rPr>
      <t xml:space="preserve">  </t>
    </r>
  </si>
  <si>
    <r>
      <t>Venue (Name &amp; Address):</t>
    </r>
    <r>
      <rPr>
        <sz val="12"/>
        <color theme="1"/>
        <rFont val="Arial Unicode MS"/>
        <family val="2"/>
      </rPr>
      <t xml:space="preserve"> </t>
    </r>
  </si>
  <si>
    <r>
      <t>Event End:</t>
    </r>
    <r>
      <rPr>
        <sz val="12"/>
        <color theme="1"/>
        <rFont val="Arial Unicode MS"/>
        <family val="2"/>
      </rPr>
      <t xml:space="preserve"> </t>
    </r>
  </si>
  <si>
    <r>
      <t>Event Type / Occasion:</t>
    </r>
    <r>
      <rPr>
        <sz val="12"/>
        <color theme="1"/>
        <rFont val="Arial Unicode MS"/>
        <family val="2"/>
      </rPr>
      <t xml:space="preserve"> </t>
    </r>
  </si>
  <si>
    <r>
      <t>Service Type(s):</t>
    </r>
    <r>
      <rPr>
        <sz val="12"/>
        <color theme="1"/>
        <rFont val="Arial Unicode MS"/>
        <family val="2"/>
      </rPr>
      <t xml:space="preserve"> </t>
    </r>
  </si>
  <si>
    <r>
      <t>Specialised Singer(s):</t>
    </r>
    <r>
      <rPr>
        <sz val="12"/>
        <color theme="1"/>
        <rFont val="Arial Unicode MS"/>
        <family val="2"/>
      </rPr>
      <t xml:space="preserve"> </t>
    </r>
  </si>
  <si>
    <r>
      <t>Additional Production (staging/lighting/etc.):</t>
    </r>
    <r>
      <rPr>
        <sz val="12"/>
        <color theme="1"/>
        <rFont val="Arial Unicode MS"/>
        <family val="2"/>
      </rPr>
      <t xml:space="preserve"> </t>
    </r>
  </si>
  <si>
    <r>
      <t>Private Room for changing/refreshing/rehearsing — Confirmed</t>
    </r>
    <r>
      <rPr>
        <sz val="12"/>
        <color theme="1"/>
        <rFont val="Arial Unicode MS"/>
        <family val="2"/>
      </rPr>
      <t xml:space="preserve"> </t>
    </r>
  </si>
  <si>
    <r>
      <t>Caterer (Company/Name):</t>
    </r>
    <r>
      <rPr>
        <sz val="12"/>
        <color theme="1"/>
        <rFont val="Arial Unicode MS"/>
        <family val="2"/>
      </rPr>
      <t xml:space="preserve"> </t>
    </r>
  </si>
  <si>
    <r>
      <t xml:space="preserve">we’ll notify you in advance; client will cater and/or cover the cost </t>
    </r>
    <r>
      <rPr>
        <b/>
        <sz val="12"/>
        <rFont val="Arial Unicode MS"/>
        <family val="2"/>
      </rPr>
      <t xml:space="preserve">— Confirmed </t>
    </r>
  </si>
  <si>
    <t>D) Fees &amp; Payment</t>
  </si>
  <si>
    <t>E) Special Conditions (if any)</t>
  </si>
  <si>
    <t>Signatures</t>
  </si>
  <si>
    <t>By signing, I agree to the Booking Terms &amp; Conditions, Technical Rider, and any Special Conditions referenced in this Schedule, and confirm I have read them.</t>
  </si>
  <si>
    <r>
      <t>Payment Method:</t>
    </r>
    <r>
      <rPr>
        <sz val="12"/>
        <color theme="1"/>
        <rFont val="Arial Unicode MS"/>
        <family val="2"/>
      </rPr>
      <t xml:space="preserve"> </t>
    </r>
    <r>
      <rPr>
        <b/>
        <sz val="12"/>
        <color theme="1"/>
        <rFont val="Arial Unicode MS"/>
        <family val="2"/>
      </rPr>
      <t>Bank transfer (unless otherwise agreed)</t>
    </r>
  </si>
  <si>
    <r>
      <t>Travel &amp; Parking (client to cover; recharged at cost) — Confirmed</t>
    </r>
    <r>
      <rPr>
        <sz val="12"/>
        <color theme="1"/>
        <rFont val="Arial Unicode MS"/>
        <family val="2"/>
      </rPr>
      <t xml:space="preserve"> </t>
    </r>
  </si>
  <si>
    <r>
      <t>Accommodation (if applicable; client to cover; recharged at cost) — Confirmed</t>
    </r>
    <r>
      <rPr>
        <sz val="12"/>
        <color theme="1"/>
        <rFont val="Arial Unicode MS"/>
        <family val="2"/>
      </rPr>
      <t xml:space="preserve"> </t>
    </r>
  </si>
  <si>
    <t>Client Signature:</t>
  </si>
  <si>
    <t>Signature:</t>
  </si>
  <si>
    <t>Who we are / who you are</t>
  </si>
  <si>
    <t>1) Making it official</t>
  </si>
  <si>
    <t>2) Payments</t>
  </si>
  <si>
    <t>3) If you cancel (calendar months before the Event Date)</t>
  </si>
  <si>
    <t>4) If we can’t perform (force majeure)</t>
  </si>
  <si>
    <t>5) What we need from you</t>
  </si>
  <si>
    <t>6) Safety &amp; unmet essentials</t>
  </si>
  <si>
    <t>7) Recording &amp; promo</t>
  </si>
  <si>
    <t>8) Confidentiality</t>
  </si>
  <si>
    <t>9) Dispute resolution</t>
  </si>
  <si>
    <t>10) Liability</t>
  </si>
  <si>
    <t>11) Expenses</t>
  </si>
  <si>
    <t>12) General</t>
  </si>
  <si>
    <t>section 3.</t>
  </si>
  <si>
    <t>confidence, or if the information is already public.</t>
  </si>
  <si>
    <t xml:space="preserve">Events beyond anyone’s reasonable control may pause obligations. If we can’t perform on the day, either of us </t>
  </si>
  <si>
    <t>non-guest restroom.</t>
  </si>
  <si>
    <t>you.</t>
  </si>
  <si>
    <t>jurisdiction.</t>
  </si>
  <si>
    <t xml:space="preserve">note that clearly identifies this booking (date/client/venue) and is approved by you (email/text/WhatsApp/e-sign) </t>
  </si>
  <si>
    <t>Acknowledgement &amp; Incorporation</t>
  </si>
  <si>
    <r>
      <t xml:space="preserve">This booking is between </t>
    </r>
    <r>
      <rPr>
        <b/>
        <sz val="12"/>
        <color theme="1"/>
        <rFont val="Aptos Narrow"/>
        <scheme val="minor"/>
      </rPr>
      <t>AhMen a cappella Ltd</t>
    </r>
    <r>
      <rPr>
        <sz val="12"/>
        <color theme="1"/>
        <rFont val="Aptos Narrow"/>
        <scheme val="minor"/>
      </rPr>
      <t xml:space="preserve"> (“</t>
    </r>
    <r>
      <rPr>
        <b/>
        <sz val="12"/>
        <color theme="1"/>
        <rFont val="Aptos Narrow"/>
        <scheme val="minor"/>
      </rPr>
      <t>we/us</t>
    </r>
    <r>
      <rPr>
        <sz val="12"/>
        <color theme="1"/>
        <rFont val="Aptos Narrow"/>
        <scheme val="minor"/>
      </rPr>
      <t xml:space="preserve">”) and the </t>
    </r>
    <r>
      <rPr>
        <b/>
        <sz val="12"/>
        <color theme="1"/>
        <rFont val="Aptos Narrow"/>
        <scheme val="minor"/>
      </rPr>
      <t>Client</t>
    </r>
    <r>
      <rPr>
        <sz val="12"/>
        <color theme="1"/>
        <rFont val="Aptos Narrow"/>
        <scheme val="minor"/>
      </rPr>
      <t xml:space="preserve"> (“</t>
    </r>
    <r>
      <rPr>
        <b/>
        <sz val="12"/>
        <color theme="1"/>
        <rFont val="Aptos Narrow"/>
        <scheme val="minor"/>
      </rPr>
      <t>you</t>
    </r>
    <r>
      <rPr>
        <sz val="12"/>
        <color theme="1"/>
        <rFont val="Aptos Narrow"/>
        <scheme val="minor"/>
      </rPr>
      <t xml:space="preserve">”) named on the </t>
    </r>
    <r>
      <rPr>
        <b/>
        <sz val="12"/>
        <color theme="1"/>
        <rFont val="Aptos Narrow"/>
        <scheme val="minor"/>
      </rPr>
      <t xml:space="preserve">Booking </t>
    </r>
  </si>
  <si>
    <r>
      <t>Schedule</t>
    </r>
    <r>
      <rPr>
        <sz val="12"/>
        <color theme="1"/>
        <rFont val="Aptos Narrow"/>
        <scheme val="minor"/>
      </rPr>
      <t>.</t>
    </r>
  </si>
  <si>
    <r>
      <t xml:space="preserve">• The booking becomes binding when we receive </t>
    </r>
    <r>
      <rPr>
        <b/>
        <sz val="12"/>
        <color theme="1"/>
        <rFont val="Aptos Narrow"/>
        <scheme val="minor"/>
      </rPr>
      <t>your signature + 30% deposit</t>
    </r>
    <r>
      <rPr>
        <sz val="12"/>
        <color theme="1"/>
        <rFont val="Aptos Narrow"/>
        <scheme val="minor"/>
      </rPr>
      <t>.</t>
    </r>
  </si>
  <si>
    <r>
      <t xml:space="preserve">• Please do both </t>
    </r>
    <r>
      <rPr>
        <b/>
        <sz val="12"/>
        <color theme="1"/>
        <rFont val="Aptos Narrow"/>
        <scheme val="minor"/>
      </rPr>
      <t>within 10 days</t>
    </r>
    <r>
      <rPr>
        <sz val="12"/>
        <color theme="1"/>
        <rFont val="Aptos Narrow"/>
        <scheme val="minor"/>
      </rPr>
      <t xml:space="preserve"> of the date we send the agreement (bank clearing time included). If not, we may </t>
    </r>
  </si>
  <si>
    <r>
      <t>release the date</t>
    </r>
    <r>
      <rPr>
        <sz val="12"/>
        <color theme="1"/>
        <rFont val="Aptos Narrow"/>
        <scheme val="minor"/>
      </rPr>
      <t>.</t>
    </r>
  </si>
  <si>
    <r>
      <t xml:space="preserve">• </t>
    </r>
    <r>
      <rPr>
        <b/>
        <sz val="12"/>
        <color theme="1"/>
        <rFont val="Aptos Narrow"/>
        <scheme val="minor"/>
      </rPr>
      <t>Deposit: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30%</t>
    </r>
    <r>
      <rPr>
        <sz val="12"/>
        <color theme="1"/>
        <rFont val="Aptos Narrow"/>
        <scheme val="minor"/>
      </rPr>
      <t xml:space="preserve"> on signing (</t>
    </r>
    <r>
      <rPr>
        <b/>
        <sz val="12"/>
        <color theme="1"/>
        <rFont val="Aptos Narrow"/>
        <scheme val="minor"/>
      </rPr>
      <t>non-refundable</t>
    </r>
    <r>
      <rPr>
        <sz val="12"/>
        <color theme="1"/>
        <rFont val="Aptos Narrow"/>
        <scheme val="minor"/>
      </rPr>
      <t>).</t>
    </r>
  </si>
  <si>
    <r>
      <t>•</t>
    </r>
    <r>
      <rPr>
        <b/>
        <sz val="12"/>
        <color theme="1"/>
        <rFont val="Aptos Narrow"/>
        <scheme val="minor"/>
      </rPr>
      <t xml:space="preserve"> Balance: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70%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no later than 10 days before</t>
    </r>
    <r>
      <rPr>
        <sz val="12"/>
        <color theme="1"/>
        <rFont val="Aptos Narrow"/>
        <scheme val="minor"/>
      </rPr>
      <t xml:space="preserve"> the Event Date (cleared funds).</t>
    </r>
  </si>
  <si>
    <r>
      <t xml:space="preserve">• If anything’s </t>
    </r>
    <r>
      <rPr>
        <b/>
        <sz val="12"/>
        <color theme="1"/>
        <rFont val="Aptos Narrow"/>
        <scheme val="minor"/>
      </rPr>
      <t>unpaid</t>
    </r>
    <r>
      <rPr>
        <sz val="12"/>
        <color theme="1"/>
        <rFont val="Aptos Narrow"/>
        <scheme val="minor"/>
      </rPr>
      <t xml:space="preserve">, we may </t>
    </r>
    <r>
      <rPr>
        <b/>
        <sz val="12"/>
        <color theme="1"/>
        <rFont val="Aptos Narrow"/>
        <scheme val="minor"/>
      </rPr>
      <t>pause/not perform</t>
    </r>
    <r>
      <rPr>
        <sz val="12"/>
        <color theme="1"/>
        <rFont val="Aptos Narrow"/>
        <scheme val="minor"/>
      </rPr>
      <t xml:space="preserve"> until paid.</t>
    </r>
  </si>
  <si>
    <r>
      <t xml:space="preserve">• </t>
    </r>
    <r>
      <rPr>
        <b/>
        <sz val="12"/>
        <color theme="1"/>
        <rFont val="Aptos Narrow"/>
        <scheme val="minor"/>
      </rPr>
      <t>Within 1 month: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100% of the total fee</t>
    </r>
    <r>
      <rPr>
        <sz val="12"/>
        <color theme="1"/>
        <rFont val="Aptos Narrow"/>
        <scheme val="minor"/>
      </rPr>
      <t>.</t>
    </r>
  </si>
  <si>
    <r>
      <t>•</t>
    </r>
    <r>
      <rPr>
        <b/>
        <sz val="12"/>
        <color theme="1"/>
        <rFont val="Aptos Narrow"/>
        <scheme val="minor"/>
      </rPr>
      <t xml:space="preserve"> 1–4 months: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70% of the total fee</t>
    </r>
    <r>
      <rPr>
        <sz val="12"/>
        <color theme="1"/>
        <rFont val="Aptos Narrow"/>
        <scheme val="minor"/>
      </rPr>
      <t>.</t>
    </r>
  </si>
  <si>
    <r>
      <t>•</t>
    </r>
    <r>
      <rPr>
        <b/>
        <sz val="12"/>
        <color theme="1"/>
        <rFont val="Aptos Narrow"/>
        <scheme val="minor"/>
      </rPr>
      <t xml:space="preserve"> More than 4 months: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Deposit only</t>
    </r>
    <r>
      <rPr>
        <sz val="12"/>
        <color theme="1"/>
        <rFont val="Aptos Narrow"/>
        <scheme val="minor"/>
      </rPr>
      <t xml:space="preserve"> (no further fee).</t>
    </r>
  </si>
  <si>
    <r>
      <t xml:space="preserve">Any amounts already paid are set off against what’s due; we always keep the </t>
    </r>
    <r>
      <rPr>
        <b/>
        <i/>
        <sz val="12"/>
        <color theme="1"/>
        <rFont val="Aptos Narrow"/>
        <scheme val="minor"/>
      </rPr>
      <t>non-refundable deposit</t>
    </r>
    <r>
      <rPr>
        <i/>
        <sz val="12"/>
        <color theme="1"/>
        <rFont val="Aptos Narrow"/>
        <scheme val="minor"/>
      </rPr>
      <t>.</t>
    </r>
  </si>
  <si>
    <r>
      <t xml:space="preserve">may end the contract and we’ll </t>
    </r>
    <r>
      <rPr>
        <b/>
        <sz val="12"/>
        <color theme="1"/>
        <rFont val="Aptos Narrow"/>
        <scheme val="minor"/>
      </rPr>
      <t>refund everything you’ve paid</t>
    </r>
    <r>
      <rPr>
        <sz val="12"/>
        <color theme="1"/>
        <rFont val="Aptos Narrow"/>
        <scheme val="minor"/>
      </rPr>
      <t xml:space="preserve"> — this is your </t>
    </r>
    <r>
      <rPr>
        <b/>
        <sz val="12"/>
        <color theme="1"/>
        <rFont val="Aptos Narrow"/>
        <scheme val="minor"/>
      </rPr>
      <t>sole remedy</t>
    </r>
    <r>
      <rPr>
        <sz val="12"/>
        <color theme="1"/>
        <rFont val="Aptos Narrow"/>
        <scheme val="minor"/>
      </rPr>
      <t>.</t>
    </r>
  </si>
  <si>
    <r>
      <t>•</t>
    </r>
    <r>
      <rPr>
        <b/>
        <sz val="12"/>
        <color theme="1"/>
        <rFont val="Aptos Narrow"/>
        <scheme val="minor"/>
      </rPr>
      <t xml:space="preserve"> Tech:</t>
    </r>
    <r>
      <rPr>
        <sz val="12"/>
        <color theme="1"/>
        <rFont val="Aptos Narrow"/>
        <scheme val="minor"/>
      </rPr>
      <t xml:space="preserve"> If you’re using a third-party for sound/stage/lighting, please meet our </t>
    </r>
    <r>
      <rPr>
        <b/>
        <sz val="12"/>
        <color theme="1"/>
        <rFont val="Aptos Narrow"/>
        <scheme val="minor"/>
      </rPr>
      <t>Technical Rider</t>
    </r>
    <r>
      <rPr>
        <sz val="12"/>
        <color theme="1"/>
        <rFont val="Aptos Narrow"/>
        <scheme val="minor"/>
      </rPr>
      <t>.</t>
    </r>
  </si>
  <si>
    <r>
      <t>•</t>
    </r>
    <r>
      <rPr>
        <b/>
        <sz val="12"/>
        <color theme="1"/>
        <rFont val="Aptos Narrow"/>
        <scheme val="minor"/>
      </rPr>
      <t xml:space="preserve"> Facilities:</t>
    </r>
    <r>
      <rPr>
        <sz val="12"/>
        <color theme="1"/>
        <rFont val="Aptos Narrow"/>
        <scheme val="minor"/>
      </rPr>
      <t xml:space="preserve"> A </t>
    </r>
    <r>
      <rPr>
        <b/>
        <sz val="12"/>
        <color theme="1"/>
        <rFont val="Aptos Narrow"/>
        <scheme val="minor"/>
      </rPr>
      <t>private room</t>
    </r>
    <r>
      <rPr>
        <sz val="12"/>
        <color theme="1"/>
        <rFont val="Aptos Narrow"/>
        <scheme val="minor"/>
      </rPr>
      <t xml:space="preserve"> for changing/refreshing/rehearsing (exclusive where practicable) and, if possible, a </t>
    </r>
  </si>
  <si>
    <r>
      <t>•</t>
    </r>
    <r>
      <rPr>
        <b/>
        <sz val="12"/>
        <color theme="1"/>
        <rFont val="Aptos Narrow"/>
        <scheme val="minor"/>
      </rPr>
      <t xml:space="preserve"> Meals &amp; special requirements:</t>
    </r>
    <r>
      <rPr>
        <sz val="12"/>
        <color theme="1"/>
        <rFont val="Aptos Narrow"/>
        <scheme val="minor"/>
      </rPr>
      <t xml:space="preserve"> A </t>
    </r>
    <r>
      <rPr>
        <b/>
        <sz val="12"/>
        <color theme="1"/>
        <rFont val="Aptos Narrow"/>
        <scheme val="minor"/>
      </rPr>
      <t>full meal</t>
    </r>
    <r>
      <rPr>
        <sz val="12"/>
        <color theme="1"/>
        <rFont val="Aptos Narrow"/>
        <scheme val="minor"/>
      </rPr>
      <t xml:space="preserve"> for each performer/staff at times that don’t clash with performance. </t>
    </r>
  </si>
  <si>
    <r>
      <t xml:space="preserve">We’ll </t>
    </r>
    <r>
      <rPr>
        <b/>
        <sz val="12"/>
        <color theme="1"/>
        <rFont val="Aptos Narrow"/>
        <scheme val="minor"/>
      </rPr>
      <t>notify you in advance of any special requirements (including dietary requirements)</t>
    </r>
    <r>
      <rPr>
        <sz val="12"/>
        <color theme="1"/>
        <rFont val="Aptos Narrow"/>
        <scheme val="minor"/>
      </rPr>
      <t xml:space="preserve">; you’ll </t>
    </r>
    <r>
      <rPr>
        <b/>
        <sz val="12"/>
        <color theme="1"/>
        <rFont val="Aptos Narrow"/>
        <scheme val="minor"/>
      </rPr>
      <t xml:space="preserve">cater and </t>
    </r>
  </si>
  <si>
    <r>
      <t>cover the cost</t>
    </r>
    <r>
      <rPr>
        <sz val="12"/>
        <color theme="1"/>
        <rFont val="Aptos Narrow"/>
        <scheme val="minor"/>
      </rPr>
      <t xml:space="preserve">. If you prefer, we can </t>
    </r>
    <r>
      <rPr>
        <b/>
        <sz val="12"/>
        <color theme="1"/>
        <rFont val="Aptos Narrow"/>
        <scheme val="minor"/>
      </rPr>
      <t>opt out</t>
    </r>
    <r>
      <rPr>
        <sz val="12"/>
        <color theme="1"/>
        <rFont val="Aptos Narrow"/>
        <scheme val="minor"/>
      </rPr>
      <t xml:space="preserve"> and arrange our own meals at a </t>
    </r>
    <r>
      <rPr>
        <b/>
        <sz val="12"/>
        <color theme="1"/>
        <rFont val="Aptos Narrow"/>
        <scheme val="minor"/>
      </rPr>
      <t>pre-agreed buy-out</t>
    </r>
    <r>
      <rPr>
        <sz val="12"/>
        <color theme="1"/>
        <rFont val="Aptos Narrow"/>
        <scheme val="minor"/>
      </rPr>
      <t xml:space="preserve"> payable by </t>
    </r>
  </si>
  <si>
    <r>
      <t xml:space="preserve">If things are </t>
    </r>
    <r>
      <rPr>
        <b/>
        <sz val="12"/>
        <color theme="1"/>
        <rFont val="Aptos Narrow"/>
        <scheme val="minor"/>
      </rPr>
      <t>unsafe</t>
    </r>
    <r>
      <rPr>
        <sz val="12"/>
        <color theme="1"/>
        <rFont val="Aptos Narrow"/>
        <scheme val="minor"/>
      </rPr>
      <t xml:space="preserve"> (e.g., electrics, overcrowding, weather) or key obligations in sections </t>
    </r>
    <r>
      <rPr>
        <b/>
        <sz val="12"/>
        <color theme="1"/>
        <rFont val="Aptos Narrow"/>
        <scheme val="minor"/>
      </rPr>
      <t>2</t>
    </r>
    <r>
      <rPr>
        <sz val="12"/>
        <color theme="1"/>
        <rFont val="Aptos Narrow"/>
        <scheme val="minor"/>
      </rPr>
      <t xml:space="preserve"> or </t>
    </r>
    <r>
      <rPr>
        <b/>
        <sz val="12"/>
        <color theme="1"/>
        <rFont val="Aptos Narrow"/>
        <scheme val="minor"/>
      </rPr>
      <t>5</t>
    </r>
    <r>
      <rPr>
        <sz val="12"/>
        <color theme="1"/>
        <rFont val="Aptos Narrow"/>
        <scheme val="minor"/>
      </rPr>
      <t xml:space="preserve"> aren’t met, we </t>
    </r>
  </si>
  <si>
    <r>
      <t xml:space="preserve">may </t>
    </r>
    <r>
      <rPr>
        <b/>
        <sz val="12"/>
        <color theme="1"/>
        <rFont val="Aptos Narrow"/>
        <scheme val="minor"/>
      </rPr>
      <t>pause/stop</t>
    </r>
    <r>
      <rPr>
        <sz val="12"/>
        <color theme="1"/>
        <rFont val="Aptos Narrow"/>
        <scheme val="minor"/>
      </rPr>
      <t xml:space="preserve"> and resume once fixed. If not fixed in time, we may treat it as a </t>
    </r>
    <r>
      <rPr>
        <b/>
        <sz val="12"/>
        <color theme="1"/>
        <rFont val="Aptos Narrow"/>
        <scheme val="minor"/>
      </rPr>
      <t>Client cancellation</t>
    </r>
    <r>
      <rPr>
        <sz val="12"/>
        <color theme="1"/>
        <rFont val="Aptos Narrow"/>
        <scheme val="minor"/>
      </rPr>
      <t xml:space="preserve"> under </t>
    </r>
  </si>
  <si>
    <r>
      <t xml:space="preserve">Please </t>
    </r>
    <r>
      <rPr>
        <b/>
        <sz val="12"/>
        <color theme="1"/>
        <rFont val="Aptos Narrow"/>
        <scheme val="minor"/>
      </rPr>
      <t>don’t audio/video record</t>
    </r>
    <r>
      <rPr>
        <sz val="12"/>
        <color theme="1"/>
        <rFont val="Aptos Narrow"/>
        <scheme val="minor"/>
      </rPr>
      <t xml:space="preserve"> our performance or use our name/images in promotion </t>
    </r>
    <r>
      <rPr>
        <b/>
        <sz val="12"/>
        <color theme="1"/>
        <rFont val="Aptos Narrow"/>
        <scheme val="minor"/>
      </rPr>
      <t>without written consent</t>
    </r>
    <r>
      <rPr>
        <sz val="12"/>
        <color theme="1"/>
        <rFont val="Aptos Narrow"/>
        <scheme val="minor"/>
      </rPr>
      <t>.</t>
    </r>
  </si>
  <si>
    <r>
      <t xml:space="preserve">Please keep </t>
    </r>
    <r>
      <rPr>
        <b/>
        <sz val="12"/>
        <color theme="1"/>
        <rFont val="Aptos Narrow"/>
        <scheme val="minor"/>
      </rPr>
      <t>fees and terms</t>
    </r>
    <r>
      <rPr>
        <sz val="12"/>
        <color theme="1"/>
        <rFont val="Aptos Narrow"/>
        <scheme val="minor"/>
      </rPr>
      <t xml:space="preserve"> private. You may disclose where required by law or to advisers/insurers under </t>
    </r>
  </si>
  <si>
    <r>
      <t xml:space="preserve">Let’s try to </t>
    </r>
    <r>
      <rPr>
        <b/>
        <sz val="12"/>
        <color theme="1"/>
        <rFont val="Aptos Narrow"/>
        <scheme val="minor"/>
      </rPr>
      <t>resolve informally first</t>
    </r>
    <r>
      <rPr>
        <sz val="12"/>
        <color theme="1"/>
        <rFont val="Aptos Narrow"/>
        <scheme val="minor"/>
      </rPr>
      <t xml:space="preserve">. If needed, we’ll follow the </t>
    </r>
    <r>
      <rPr>
        <b/>
        <sz val="12"/>
        <color theme="1"/>
        <rFont val="Aptos Narrow"/>
        <scheme val="minor"/>
      </rPr>
      <t>Pre-Action Protocols</t>
    </r>
    <r>
      <rPr>
        <sz val="12"/>
        <color theme="1"/>
        <rFont val="Aptos Narrow"/>
        <scheme val="minor"/>
      </rPr>
      <t xml:space="preserve"> before any claim.</t>
    </r>
  </si>
  <si>
    <r>
      <t xml:space="preserve">Our total liability arising from the booking is </t>
    </r>
    <r>
      <rPr>
        <b/>
        <sz val="12"/>
        <color theme="1"/>
        <rFont val="Aptos Narrow"/>
        <scheme val="minor"/>
      </rPr>
      <t>capped at the total fees you’ve paid</t>
    </r>
    <r>
      <rPr>
        <sz val="12"/>
        <color theme="1"/>
        <rFont val="Aptos Narrow"/>
        <scheme val="minor"/>
      </rPr>
      <t xml:space="preserve">. We aren’t liable for </t>
    </r>
    <r>
      <rPr>
        <b/>
        <sz val="12"/>
        <color theme="1"/>
        <rFont val="Aptos Narrow"/>
        <scheme val="minor"/>
      </rPr>
      <t xml:space="preserve">indirect or </t>
    </r>
  </si>
  <si>
    <r>
      <t>consequential loss</t>
    </r>
    <r>
      <rPr>
        <sz val="12"/>
        <color theme="1"/>
        <rFont val="Aptos Narrow"/>
        <scheme val="minor"/>
      </rPr>
      <t xml:space="preserve">. Nothing here limits liability that </t>
    </r>
    <r>
      <rPr>
        <b/>
        <sz val="12"/>
        <color theme="1"/>
        <rFont val="Aptos Narrow"/>
        <scheme val="minor"/>
      </rPr>
      <t>can’t legally be limited</t>
    </r>
    <r>
      <rPr>
        <sz val="12"/>
        <color theme="1"/>
        <rFont val="Aptos Narrow"/>
        <scheme val="minor"/>
      </rPr>
      <t>.</t>
    </r>
  </si>
  <si>
    <r>
      <t>Unless included in the Total Fee, you’ll reimburse reasonable costs we incur to deliver the booking</t>
    </r>
    <r>
      <rPr>
        <sz val="12"/>
        <color theme="1"/>
        <rFont val="Aptos Narrow"/>
        <scheme val="minor"/>
      </rPr>
      <t xml:space="preserve"> (e.g., </t>
    </r>
  </si>
  <si>
    <r>
      <t>travel/parking</t>
    </r>
    <r>
      <rPr>
        <sz val="12"/>
        <color theme="1"/>
        <rFont val="Aptos Narrow"/>
        <scheme val="minor"/>
      </rPr>
      <t xml:space="preserve"> and, where required due to </t>
    </r>
    <r>
      <rPr>
        <b/>
        <sz val="12"/>
        <color theme="1"/>
        <rFont val="Aptos Narrow"/>
        <scheme val="minor"/>
      </rPr>
      <t>event location, timing, or religious observance</t>
    </r>
    <r>
      <rPr>
        <sz val="12"/>
        <color theme="1"/>
        <rFont val="Aptos Narrow"/>
        <scheme val="minor"/>
      </rPr>
      <t xml:space="preserve">, </t>
    </r>
    <r>
      <rPr>
        <b/>
        <sz val="12"/>
        <color theme="1"/>
        <rFont val="Aptos Narrow"/>
        <scheme val="minor"/>
      </rPr>
      <t>nearby single-</t>
    </r>
  </si>
  <si>
    <r>
      <t>occupancy accommodation</t>
    </r>
    <r>
      <rPr>
        <sz val="12"/>
        <color theme="1"/>
        <rFont val="Aptos Narrow"/>
        <scheme val="minor"/>
      </rPr>
      <t xml:space="preserve">). </t>
    </r>
    <r>
      <rPr>
        <b/>
        <sz val="12"/>
        <color theme="1"/>
        <rFont val="Aptos Narrow"/>
        <scheme val="minor"/>
      </rPr>
      <t>We’ll flag foreseeable needs in advance.</t>
    </r>
    <r>
      <rPr>
        <sz val="12"/>
        <color theme="1"/>
        <rFont val="Aptos Narrow"/>
        <scheme val="minor"/>
      </rPr>
      <t xml:space="preserve"> Any </t>
    </r>
    <r>
      <rPr>
        <b/>
        <sz val="12"/>
        <color theme="1"/>
        <rFont val="Aptos Narrow"/>
        <scheme val="minor"/>
      </rPr>
      <t>on-the-day expenses</t>
    </r>
    <r>
      <rPr>
        <sz val="12"/>
        <color theme="1"/>
        <rFont val="Aptos Narrow"/>
        <scheme val="minor"/>
      </rPr>
      <t xml:space="preserve"> will be </t>
    </r>
  </si>
  <si>
    <r>
      <t>detailed in a post-event expense summary</t>
    </r>
    <r>
      <rPr>
        <sz val="12"/>
        <color theme="1"/>
        <rFont val="Aptos Narrow"/>
        <scheme val="minor"/>
      </rPr>
      <t xml:space="preserve"> provided </t>
    </r>
    <r>
      <rPr>
        <b/>
        <sz val="12"/>
        <color theme="1"/>
        <rFont val="Aptos Narrow"/>
        <scheme val="minor"/>
      </rPr>
      <t>as soon as reasonably practicable</t>
    </r>
    <r>
      <rPr>
        <sz val="12"/>
        <color theme="1"/>
        <rFont val="Aptos Narrow"/>
        <scheme val="minor"/>
      </rPr>
      <t xml:space="preserve"> (receipts available on </t>
    </r>
  </si>
  <si>
    <r>
      <t xml:space="preserve">request). </t>
    </r>
    <r>
      <rPr>
        <b/>
        <sz val="12"/>
        <color theme="1"/>
        <rFont val="Aptos Narrow"/>
        <scheme val="minor"/>
      </rPr>
      <t>Any undisputed amounts are payable on our invoice terms.</t>
    </r>
  </si>
  <si>
    <r>
      <t>•</t>
    </r>
    <r>
      <rPr>
        <b/>
        <sz val="12"/>
        <color theme="1"/>
        <rFont val="Aptos Narrow"/>
        <scheme val="minor"/>
      </rPr>
      <t xml:space="preserve"> Governing law &amp; jurisdiction:</t>
    </r>
    <r>
      <rPr>
        <sz val="12"/>
        <color theme="1"/>
        <rFont val="Aptos Narrow"/>
        <scheme val="minor"/>
      </rPr>
      <t xml:space="preserve"> Laws of </t>
    </r>
    <r>
      <rPr>
        <b/>
        <sz val="12"/>
        <color theme="1"/>
        <rFont val="Aptos Narrow"/>
        <scheme val="minor"/>
      </rPr>
      <t>England and Wales</t>
    </r>
    <r>
      <rPr>
        <sz val="12"/>
        <color theme="1"/>
        <rFont val="Aptos Narrow"/>
        <scheme val="minor"/>
      </rPr>
      <t xml:space="preserve">; courts of </t>
    </r>
    <r>
      <rPr>
        <b/>
        <sz val="12"/>
        <color theme="1"/>
        <rFont val="Aptos Narrow"/>
        <scheme val="minor"/>
      </rPr>
      <t>England and Wales</t>
    </r>
    <r>
      <rPr>
        <sz val="12"/>
        <color theme="1"/>
        <rFont val="Aptos Narrow"/>
        <scheme val="minor"/>
      </rPr>
      <t xml:space="preserve"> have exclusive </t>
    </r>
  </si>
  <si>
    <r>
      <t>•</t>
    </r>
    <r>
      <rPr>
        <b/>
        <sz val="12"/>
        <color theme="1"/>
        <rFont val="Aptos Narrow"/>
        <scheme val="minor"/>
      </rPr>
      <t xml:space="preserve"> Changes:</t>
    </r>
    <r>
      <rPr>
        <sz val="12"/>
        <color theme="1"/>
        <rFont val="Aptos Narrow"/>
        <scheme val="minor"/>
      </rPr>
      <t xml:space="preserve"> Any changes must be </t>
    </r>
    <r>
      <rPr>
        <b/>
        <sz val="12"/>
        <color theme="1"/>
        <rFont val="Aptos Narrow"/>
        <scheme val="minor"/>
      </rPr>
      <t>in writing</t>
    </r>
    <r>
      <rPr>
        <sz val="12"/>
        <color theme="1"/>
        <rFont val="Aptos Narrow"/>
        <scheme val="minor"/>
      </rPr>
      <t xml:space="preserve"> and agreed by both of us. </t>
    </r>
    <r>
      <rPr>
        <i/>
        <sz val="12"/>
        <color theme="1"/>
        <rFont val="Aptos Narrow"/>
        <scheme val="minor"/>
      </rPr>
      <t>(Email/text counts.)</t>
    </r>
  </si>
  <si>
    <r>
      <t>•</t>
    </r>
    <r>
      <rPr>
        <b/>
        <sz val="12"/>
        <color theme="1"/>
        <rFont val="Aptos Narrow"/>
        <scheme val="minor"/>
      </rPr>
      <t xml:space="preserve"> Electronic signatures &amp; counterparts:</t>
    </r>
    <r>
      <rPr>
        <sz val="12"/>
        <color theme="1"/>
        <rFont val="Aptos Narrow"/>
        <scheme val="minor"/>
      </rPr>
      <t xml:space="preserve"> This agreement may be </t>
    </r>
    <r>
      <rPr>
        <b/>
        <sz val="12"/>
        <color theme="1"/>
        <rFont val="Aptos Narrow"/>
        <scheme val="minor"/>
      </rPr>
      <t>signed electronically</t>
    </r>
    <r>
      <rPr>
        <sz val="12"/>
        <color theme="1"/>
        <rFont val="Aptos Narrow"/>
        <scheme val="minor"/>
      </rPr>
      <t xml:space="preserve"> (including typed name, </t>
    </r>
  </si>
  <si>
    <r>
      <t xml:space="preserve">tick-box, scanned or platform e-sign) and in </t>
    </r>
    <r>
      <rPr>
        <b/>
        <sz val="12"/>
        <color theme="1"/>
        <rFont val="Aptos Narrow"/>
        <scheme val="minor"/>
      </rPr>
      <t>counterparts</t>
    </r>
    <r>
      <rPr>
        <sz val="12"/>
        <color theme="1"/>
        <rFont val="Aptos Narrow"/>
        <scheme val="minor"/>
      </rPr>
      <t>, each an original forming one agreement.</t>
    </r>
  </si>
  <si>
    <r>
      <t>•</t>
    </r>
    <r>
      <rPr>
        <b/>
        <sz val="12"/>
        <color theme="1"/>
        <rFont val="Aptos Narrow"/>
        <scheme val="minor"/>
      </rPr>
      <t xml:space="preserve"> Agreed variations &amp; additional fees:</t>
    </r>
    <r>
      <rPr>
        <sz val="12"/>
        <color theme="1"/>
        <rFont val="Aptos Narrow"/>
        <scheme val="minor"/>
      </rPr>
      <t xml:space="preserve"> Extras </t>
    </r>
    <r>
      <rPr>
        <b/>
        <sz val="12"/>
        <color theme="1"/>
        <rFont val="Aptos Narrow"/>
        <scheme val="minor"/>
      </rPr>
      <t>not listed on the Booking Schedule</t>
    </r>
    <r>
      <rPr>
        <sz val="12"/>
        <color theme="1"/>
        <rFont val="Aptos Narrow"/>
        <scheme val="minor"/>
      </rPr>
      <t xml:space="preserve"> must be </t>
    </r>
    <r>
      <rPr>
        <b/>
        <sz val="12"/>
        <color theme="1"/>
        <rFont val="Aptos Narrow"/>
        <scheme val="minor"/>
      </rPr>
      <t>agreed in writing</t>
    </r>
    <r>
      <rPr>
        <sz val="12"/>
        <color theme="1"/>
        <rFont val="Aptos Narrow"/>
        <scheme val="minor"/>
      </rPr>
      <t xml:space="preserve">. A </t>
    </r>
  </si>
  <si>
    <r>
      <t xml:space="preserve">becomes part of this contract as a </t>
    </r>
    <r>
      <rPr>
        <b/>
        <sz val="12"/>
        <color theme="1"/>
        <rFont val="Aptos Narrow"/>
        <scheme val="minor"/>
      </rPr>
      <t>Special Condition / Agreed Variation</t>
    </r>
    <r>
      <rPr>
        <sz val="12"/>
        <color theme="1"/>
        <rFont val="Aptos Narrow"/>
        <scheme val="minor"/>
      </rPr>
      <t xml:space="preserve"> and is </t>
    </r>
    <r>
      <rPr>
        <b/>
        <sz val="12"/>
        <color theme="1"/>
        <rFont val="Aptos Narrow"/>
        <scheme val="minor"/>
      </rPr>
      <t>binding</t>
    </r>
    <r>
      <rPr>
        <sz val="12"/>
        <color theme="1"/>
        <rFont val="Aptos Narrow"/>
        <scheme val="minor"/>
      </rPr>
      <t xml:space="preserve">. </t>
    </r>
    <r>
      <rPr>
        <b/>
        <sz val="12"/>
        <color theme="1"/>
        <rFont val="Aptos Narrow"/>
        <scheme val="minor"/>
      </rPr>
      <t xml:space="preserve">Post-event expense </t>
    </r>
  </si>
  <si>
    <r>
      <t>summaries under clause 11</t>
    </r>
    <r>
      <rPr>
        <sz val="12"/>
        <color theme="1"/>
        <rFont val="Aptos Narrow"/>
        <scheme val="minor"/>
      </rPr>
      <t xml:space="preserve"> form part of this contract once </t>
    </r>
    <r>
      <rPr>
        <b/>
        <sz val="12"/>
        <color theme="1"/>
        <rFont val="Aptos Narrow"/>
        <scheme val="minor"/>
      </rPr>
      <t>approved</t>
    </r>
    <r>
      <rPr>
        <sz val="12"/>
        <color theme="1"/>
        <rFont val="Aptos Narrow"/>
        <scheme val="minor"/>
      </rPr>
      <t xml:space="preserve"> or if </t>
    </r>
    <r>
      <rPr>
        <b/>
        <sz val="12"/>
        <color theme="1"/>
        <rFont val="Aptos Narrow"/>
        <scheme val="minor"/>
      </rPr>
      <t>not disputed within 7 days</t>
    </r>
    <r>
      <rPr>
        <sz val="12"/>
        <color theme="1"/>
        <rFont val="Aptos Narrow"/>
        <scheme val="minor"/>
      </rPr>
      <t xml:space="preserve"> of receipt.</t>
    </r>
  </si>
  <si>
    <r>
      <t>•</t>
    </r>
    <r>
      <rPr>
        <b/>
        <sz val="12"/>
        <color theme="1"/>
        <rFont val="Aptos Narrow"/>
        <scheme val="minor"/>
      </rPr>
      <t xml:space="preserve"> Order of precedence:</t>
    </r>
    <r>
      <rPr>
        <sz val="12"/>
        <color theme="1"/>
        <rFont val="Aptos Narrow"/>
        <scheme val="minor"/>
      </rPr>
      <t xml:space="preserve"> If there’s a conflict, </t>
    </r>
    <r>
      <rPr>
        <b/>
        <sz val="12"/>
        <color theme="1"/>
        <rFont val="Aptos Narrow"/>
        <scheme val="minor"/>
      </rPr>
      <t>Agreed Variations/Special Conditions</t>
    </r>
    <r>
      <rPr>
        <sz val="12"/>
        <color theme="1"/>
        <rFont val="Aptos Narrow"/>
        <scheme val="minor"/>
      </rPr>
      <t xml:space="preserve"> prevail over the </t>
    </r>
    <r>
      <rPr>
        <b/>
        <sz val="12"/>
        <color theme="1"/>
        <rFont val="Aptos Narrow"/>
        <scheme val="minor"/>
      </rPr>
      <t xml:space="preserve">Booking </t>
    </r>
  </si>
  <si>
    <r>
      <t>Schedule</t>
    </r>
    <r>
      <rPr>
        <sz val="12"/>
        <color theme="1"/>
        <rFont val="Aptos Narrow"/>
        <scheme val="minor"/>
      </rPr>
      <t xml:space="preserve">, which prevails over these </t>
    </r>
    <r>
      <rPr>
        <b/>
        <sz val="12"/>
        <color theme="1"/>
        <rFont val="Aptos Narrow"/>
        <scheme val="minor"/>
      </rPr>
      <t>T&amp;Cs</t>
    </r>
    <r>
      <rPr>
        <sz val="12"/>
        <color theme="1"/>
        <rFont val="Aptos Narrow"/>
        <scheme val="minor"/>
      </rPr>
      <t xml:space="preserve">, which prevail over the </t>
    </r>
    <r>
      <rPr>
        <b/>
        <sz val="12"/>
        <color theme="1"/>
        <rFont val="Aptos Narrow"/>
        <scheme val="minor"/>
      </rPr>
      <t>Technical Rider</t>
    </r>
    <r>
      <rPr>
        <sz val="12"/>
        <color theme="1"/>
        <rFont val="Aptos Narrow"/>
        <scheme val="minor"/>
      </rPr>
      <t>.</t>
    </r>
  </si>
  <si>
    <r>
      <t>•</t>
    </r>
    <r>
      <rPr>
        <b/>
        <sz val="12"/>
        <color theme="1"/>
        <rFont val="Aptos Narrow"/>
        <scheme val="minor"/>
      </rPr>
      <t xml:space="preserve"> Entire agreement:</t>
    </r>
    <r>
      <rPr>
        <sz val="12"/>
        <color theme="1"/>
        <rFont val="Aptos Narrow"/>
        <scheme val="minor"/>
      </rPr>
      <t xml:space="preserve"> The </t>
    </r>
    <r>
      <rPr>
        <b/>
        <sz val="12"/>
        <color theme="1"/>
        <rFont val="Aptos Narrow"/>
        <scheme val="minor"/>
      </rPr>
      <t xml:space="preserve">Booking Schedule + these Terms &amp; Conditions + Technical Rider + any Special </t>
    </r>
  </si>
  <si>
    <r>
      <t>Conditions / Agreed Variations</t>
    </r>
    <r>
      <rPr>
        <sz val="12"/>
        <color theme="1"/>
        <rFont val="Aptos Narrow"/>
        <scheme val="minor"/>
      </rPr>
      <t xml:space="preserve"> are the </t>
    </r>
    <r>
      <rPr>
        <b/>
        <sz val="12"/>
        <color theme="1"/>
        <rFont val="Aptos Narrow"/>
        <scheme val="minor"/>
      </rPr>
      <t>entire agreement</t>
    </r>
    <r>
      <rPr>
        <sz val="12"/>
        <color theme="1"/>
        <rFont val="Aptos Narrow"/>
        <scheme val="minor"/>
      </rPr>
      <t xml:space="preserve"> about this booking.</t>
    </r>
  </si>
  <si>
    <r>
      <t xml:space="preserve">By signing the </t>
    </r>
    <r>
      <rPr>
        <b/>
        <sz val="12"/>
        <color theme="0"/>
        <rFont val="Aptos Narrow"/>
        <scheme val="minor"/>
      </rPr>
      <t>Booking Schedule</t>
    </r>
    <r>
      <rPr>
        <sz val="12"/>
        <color theme="0"/>
        <rFont val="Aptos Narrow"/>
        <scheme val="minor"/>
      </rPr>
      <t xml:space="preserve">, you confirm you’ve read and agree to these </t>
    </r>
    <r>
      <rPr>
        <b/>
        <sz val="12"/>
        <color theme="0"/>
        <rFont val="Aptos Narrow"/>
        <scheme val="minor"/>
      </rPr>
      <t>Terms &amp; Conditions</t>
    </r>
    <r>
      <rPr>
        <sz val="12"/>
        <color theme="0"/>
        <rFont val="Aptos Narrow"/>
        <scheme val="minor"/>
      </rPr>
      <t xml:space="preserve">, the </t>
    </r>
  </si>
  <si>
    <r>
      <t>Technical Rider</t>
    </r>
    <r>
      <rPr>
        <sz val="12"/>
        <color theme="0"/>
        <rFont val="Aptos Narrow"/>
        <scheme val="minor"/>
      </rPr>
      <t xml:space="preserve">, and any </t>
    </r>
    <r>
      <rPr>
        <b/>
        <sz val="12"/>
        <color theme="0"/>
        <rFont val="Aptos Narrow"/>
        <scheme val="minor"/>
      </rPr>
      <t>Special Conditions / Agreed Variations</t>
    </r>
    <r>
      <rPr>
        <sz val="12"/>
        <color theme="0"/>
        <rFont val="Aptos Narrow"/>
        <scheme val="minor"/>
      </rPr>
      <t xml:space="preserve"> relating to this booking.</t>
    </r>
  </si>
  <si>
    <t>Event Date:</t>
  </si>
  <si>
    <t>Client Details</t>
  </si>
  <si>
    <t>email</t>
  </si>
  <si>
    <t>phone</t>
  </si>
  <si>
    <t>Address 1</t>
  </si>
  <si>
    <t>Address 2</t>
  </si>
  <si>
    <t>Address 3</t>
  </si>
  <si>
    <t>Event Details</t>
  </si>
  <si>
    <t>Type</t>
  </si>
  <si>
    <t>Date</t>
  </si>
  <si>
    <t>Start</t>
  </si>
  <si>
    <t>End</t>
  </si>
  <si>
    <t>Venue Details</t>
  </si>
  <si>
    <t>Billing Details</t>
  </si>
  <si>
    <t>balance reminder date</t>
  </si>
  <si>
    <t>Add-on Fee(s) (if applicable):</t>
  </si>
  <si>
    <t>Deposit (30%) — due on signing:</t>
  </si>
  <si>
    <t>Balance (70%) — due no later than 10 days before Event Date:</t>
  </si>
  <si>
    <r>
      <t>Client Name (print):</t>
    </r>
    <r>
      <rPr>
        <sz val="12"/>
        <color theme="1"/>
        <rFont val="Arial Unicode MS"/>
        <family val="2"/>
      </rPr>
      <t xml:space="preserve"> </t>
    </r>
  </si>
  <si>
    <r>
      <t>Date:</t>
    </r>
    <r>
      <rPr>
        <sz val="12"/>
        <color theme="1"/>
        <rFont val="Arial Unicode MS"/>
        <family val="2"/>
      </rPr>
      <t xml:space="preserve"> </t>
    </r>
  </si>
  <si>
    <r>
      <t>Name (print):</t>
    </r>
    <r>
      <rPr>
        <sz val="12"/>
        <color theme="1"/>
        <rFont val="Arial Unicode MS"/>
        <family val="2"/>
      </rPr>
      <t xml:space="preserve"> </t>
    </r>
  </si>
  <si>
    <t>Services</t>
  </si>
  <si>
    <t>Specialist singers</t>
  </si>
  <si>
    <t>Type(s)</t>
  </si>
  <si>
    <t>AhMen fee</t>
  </si>
  <si>
    <t>Specialist singers / other fees</t>
  </si>
  <si>
    <t>☐ AhMen to provide Sound/AV</t>
  </si>
  <si>
    <t>Sound/AV (if required):</t>
  </si>
  <si>
    <t>For and on behalf of AhMen a cappella Ltd:</t>
  </si>
  <si>
    <t>Sound/AV or production</t>
  </si>
  <si>
    <t>Sound/AV/production</t>
  </si>
  <si>
    <t>Balance payment (70%)</t>
  </si>
  <si>
    <t xml:space="preserve">Fee </t>
  </si>
  <si>
    <t>Deposit (30%)</t>
  </si>
  <si>
    <t>BOOKING TERMS &amp; CONDITIONS</t>
  </si>
  <si>
    <t>Deposit (30%) to secure booking</t>
  </si>
  <si>
    <t>Balance payment (70%) due 10 days before event</t>
  </si>
  <si>
    <t>CLIENT_NAME</t>
  </si>
  <si>
    <t>CLIENT_EMAIL</t>
  </si>
  <si>
    <t>CLIENT_PHONE</t>
  </si>
  <si>
    <t>CLIENT_ADDRESS1</t>
  </si>
  <si>
    <t>CLIENT_ADDRESS2</t>
  </si>
  <si>
    <t>CLIENT_ADDRESS3</t>
  </si>
  <si>
    <t>CLIENT_TOWN</t>
  </si>
  <si>
    <t>CLIENT_POSTCODE</t>
  </si>
  <si>
    <t>EVENT_TYPE</t>
  </si>
  <si>
    <t>EVENT_DATE</t>
  </si>
  <si>
    <t>EVENT_START</t>
  </si>
  <si>
    <t>EVENT_END</t>
  </si>
  <si>
    <t>VENUE_NAME</t>
  </si>
  <si>
    <t>VENUE_ADDRESS1</t>
  </si>
  <si>
    <t>VENUE_ADDRESS2</t>
  </si>
  <si>
    <t>VENUE_ADDRESS3</t>
  </si>
  <si>
    <t>VENUE_TOWN</t>
  </si>
  <si>
    <t>VENUE_POSTCODE</t>
  </si>
  <si>
    <t>EXTRA_FEES</t>
  </si>
  <si>
    <t>PRODUCTION_FEES</t>
  </si>
  <si>
    <t>DEPOSIT_AMOUNT</t>
  </si>
  <si>
    <t>BALANCE_AMOUNT</t>
  </si>
  <si>
    <t>BALANCE_DATE</t>
  </si>
  <si>
    <t>BALANCE_REMIND</t>
  </si>
  <si>
    <t>SERVICE_TYPE</t>
  </si>
  <si>
    <t>SPECIALIST_SINGERS</t>
  </si>
  <si>
    <t>AHMEN_FEE</t>
  </si>
  <si>
    <t>Production Fee(s) (if applicable):</t>
  </si>
  <si>
    <t>Total fees</t>
  </si>
  <si>
    <t>TOTAL_FEES</t>
  </si>
  <si>
    <t>AhMen Fee (AhMen performance fee, excluding add-ons):</t>
  </si>
  <si>
    <t>Total Fee</t>
  </si>
  <si>
    <t>MOTTI COHEN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</si>
</sst>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[$-809]dd\ mmmm\ yyyy;@"/>
    <numFmt numFmtId="165" formatCode="[$-F800]dddd\,\ mmmm\ dd\,\ yyyy"/>
    <numFmt numFmtId="166" formatCode="\£#,##0.00"/>
    <numFmt numFmtId="167" formatCode="&quot;£&quot;#,##0.00"/>
  </numFmts>
  <fonts count="53" x14ac:knownFonts="1">
    <font>
      <sz val="12"/>
      <color theme="1"/>
      <name val="Aptos Narrow"/>
      <family val="2"/>
      <scheme val="minor"/>
    </font>
    <font>
      <sz val="9"/>
      <color theme="1"/>
      <name val="Arial Unicode MS"/>
      <family val="2"/>
    </font>
    <font>
      <sz val="11"/>
      <color theme="1"/>
      <name val="Arial Unicode MS"/>
      <family val="2"/>
    </font>
    <font>
      <sz val="9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9"/>
      <color rgb="FF000000"/>
      <name val="Arial Unicode MS"/>
      <family val="2"/>
    </font>
    <font>
      <sz val="9"/>
      <color theme="0"/>
      <name val="Arial Unicode MS"/>
      <family val="2"/>
    </font>
    <font>
      <sz val="10.5"/>
      <color theme="0"/>
      <name val="Arial Unicode MS"/>
      <family val="2"/>
    </font>
    <font>
      <u/>
      <sz val="9"/>
      <color theme="3" tint="0.249977111117893"/>
      <name val="Arial Unicode MS"/>
      <family val="2"/>
    </font>
    <font>
      <sz val="8"/>
      <name val="Aptos Narrow"/>
      <family val="2"/>
      <scheme val="minor"/>
    </font>
    <font>
      <b/>
      <sz val="9"/>
      <color theme="1"/>
      <name val="Trebuchet MS"/>
      <family val="2"/>
    </font>
    <font>
      <b/>
      <i/>
      <sz val="8"/>
      <color theme="1"/>
      <name val="Trebuchet MS"/>
      <family val="2"/>
    </font>
    <font>
      <sz val="8"/>
      <color theme="1"/>
      <name val="Trebuchet MS"/>
      <family val="2"/>
    </font>
    <font>
      <sz val="8"/>
      <color theme="1"/>
      <name val="Symbol"/>
      <charset val="2"/>
    </font>
    <font>
      <sz val="10"/>
      <color theme="1"/>
      <name val="Trebuchet MS"/>
      <family val="2"/>
    </font>
    <font>
      <sz val="9"/>
      <name val="Arial Unicode MS"/>
      <family val="2"/>
    </font>
    <font>
      <sz val="12"/>
      <name val="Aptos Narrow"/>
      <family val="2"/>
      <scheme val="minor"/>
    </font>
    <font>
      <u/>
      <sz val="9"/>
      <name val="Arial Unicode MS"/>
      <family val="2"/>
    </font>
    <font>
      <b/>
      <sz val="10.5"/>
      <color theme="1"/>
      <name val="Arial Unicode MS"/>
      <family val="2"/>
    </font>
    <font>
      <sz val="8"/>
      <color theme="1"/>
      <name val="Arial Unicode MS"/>
      <family val="2"/>
    </font>
    <font>
      <sz val="12"/>
      <color theme="1"/>
      <name val="Arial Unicode MS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rial Unicode MS"/>
      <family val="2"/>
    </font>
    <font>
      <b/>
      <sz val="14"/>
      <color theme="1"/>
      <name val="Arial Unicode MS"/>
      <family val="2"/>
    </font>
    <font>
      <sz val="14"/>
      <name val="Aptos Narrow"/>
      <family val="2"/>
      <scheme val="minor"/>
    </font>
    <font>
      <sz val="14"/>
      <name val="Arial Unicode MS"/>
      <family val="2"/>
    </font>
    <font>
      <b/>
      <sz val="12"/>
      <color theme="1"/>
      <name val="Arial Unicode MS"/>
      <family val="2"/>
    </font>
    <font>
      <sz val="12"/>
      <name val="Arial Unicode MS"/>
      <family val="2"/>
    </font>
    <font>
      <b/>
      <sz val="12"/>
      <name val="Arial Unicode MS"/>
      <family val="2"/>
    </font>
    <font>
      <i/>
      <sz val="8"/>
      <color theme="1"/>
      <name val="Arial Unicode MS"/>
      <family val="2"/>
    </font>
    <font>
      <b/>
      <sz val="10"/>
      <color theme="1"/>
      <name val="Arial Unicode MS"/>
      <family val="2"/>
    </font>
    <font>
      <sz val="11"/>
      <color theme="1"/>
      <name val="Aptos Narrow"/>
      <family val="2"/>
      <scheme val="minor"/>
    </font>
    <font>
      <b/>
      <sz val="10"/>
      <name val="Arial Unicode MS"/>
      <family val="2"/>
    </font>
    <font>
      <sz val="10"/>
      <color theme="1"/>
      <name val="Arial Unicode MS"/>
      <family val="2"/>
    </font>
    <font>
      <i/>
      <sz val="10"/>
      <color theme="1"/>
      <name val="Arial Unicode MS"/>
      <family val="2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6"/>
      <name val="Aptos Narrow"/>
      <family val="2"/>
      <scheme val="minor"/>
    </font>
    <font>
      <sz val="6"/>
      <color theme="0"/>
      <name val="Aptos Narrow"/>
      <family val="2"/>
      <scheme val="minor"/>
    </font>
    <font>
      <b/>
      <sz val="30"/>
      <color rgb="FF0D1C2F"/>
      <name val="Arial Unicode MS"/>
      <family val="2"/>
    </font>
    <font>
      <sz val="12"/>
      <color rgb="FF0D1C2F"/>
      <name val="Aptos Narrow"/>
      <family val="2"/>
      <scheme val="minor"/>
    </font>
    <font>
      <sz val="9"/>
      <color rgb="FF0D1C2F"/>
      <name val="Arial Unicode MS"/>
      <family val="2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sz val="14"/>
      <name val="Aptos Narrow"/>
      <scheme val="minor"/>
    </font>
    <font>
      <b/>
      <sz val="26"/>
      <color rgb="FF0D1C2F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0D1C2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3" fontId="0" fillId="0" borderId="0" xfId="0" applyNumberFormat="1"/>
    <xf numFmtId="0" fontId="4" fillId="0" borderId="0" xfId="0" applyFont="1"/>
    <xf numFmtId="167" fontId="1" fillId="0" borderId="0" xfId="0" applyNumberFormat="1" applyFont="1"/>
    <xf numFmtId="167" fontId="1" fillId="0" borderId="0" xfId="0" applyNumberFormat="1" applyFont="1" applyAlignment="1">
      <alignment horizontal="center"/>
    </xf>
    <xf numFmtId="0" fontId="5" fillId="0" borderId="0" xfId="0" applyFont="1"/>
    <xf numFmtId="15" fontId="0" fillId="0" borderId="0" xfId="0" applyNumberFormat="1"/>
    <xf numFmtId="167" fontId="0" fillId="0" borderId="0" xfId="0" applyNumberFormat="1"/>
    <xf numFmtId="166" fontId="1" fillId="0" borderId="3" xfId="0" applyNumberFormat="1" applyFont="1" applyBorder="1" applyAlignment="1">
      <alignment horizontal="right"/>
    </xf>
    <xf numFmtId="0" fontId="8" fillId="2" borderId="0" xfId="0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7" fillId="2" borderId="0" xfId="0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167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167" fontId="1" fillId="0" borderId="1" xfId="0" applyNumberFormat="1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" fillId="0" borderId="3" xfId="0" applyFont="1" applyBorder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 indent="2"/>
    </xf>
    <xf numFmtId="0" fontId="14" fillId="0" borderId="0" xfId="0" applyFont="1" applyAlignment="1">
      <alignment horizontal="left" vertical="center" indent="7"/>
    </xf>
    <xf numFmtId="0" fontId="13" fillId="0" borderId="0" xfId="0" applyFont="1" applyAlignment="1">
      <alignment horizontal="left" vertical="center" indent="3"/>
    </xf>
    <xf numFmtId="0" fontId="12" fillId="0" borderId="0" xfId="0" applyFont="1" applyAlignment="1">
      <alignment horizontal="left" vertical="center" indent="3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wrapText="1"/>
    </xf>
    <xf numFmtId="0" fontId="19" fillId="0" borderId="0" xfId="0" applyFont="1" applyAlignment="1">
      <alignment vertical="center"/>
    </xf>
    <xf numFmtId="0" fontId="0" fillId="0" borderId="1" xfId="0" applyBorder="1"/>
    <xf numFmtId="0" fontId="22" fillId="0" borderId="0" xfId="0" applyFont="1"/>
    <xf numFmtId="0" fontId="24" fillId="0" borderId="0" xfId="0" applyFont="1" applyAlignment="1">
      <alignment vertical="center"/>
    </xf>
    <xf numFmtId="0" fontId="25" fillId="0" borderId="1" xfId="0" applyFont="1" applyBorder="1"/>
    <xf numFmtId="0" fontId="24" fillId="0" borderId="1" xfId="0" applyFont="1" applyBorder="1" applyAlignment="1">
      <alignment vertical="center"/>
    </xf>
    <xf numFmtId="0" fontId="22" fillId="0" borderId="1" xfId="0" applyFont="1" applyBorder="1"/>
    <xf numFmtId="0" fontId="24" fillId="0" borderId="0" xfId="0" applyFont="1" applyAlignment="1">
      <alignment horizontal="left" vertical="center"/>
    </xf>
    <xf numFmtId="0" fontId="25" fillId="0" borderId="4" xfId="0" applyFont="1" applyBorder="1"/>
    <xf numFmtId="0" fontId="24" fillId="0" borderId="4" xfId="0" applyFont="1" applyBorder="1" applyAlignment="1">
      <alignment horizontal="left" vertical="center"/>
    </xf>
    <xf numFmtId="0" fontId="22" fillId="0" borderId="4" xfId="0" applyFont="1" applyBorder="1"/>
    <xf numFmtId="0" fontId="24" fillId="0" borderId="0" xfId="0" applyFont="1"/>
    <xf numFmtId="0" fontId="24" fillId="0" borderId="4" xfId="0" applyFont="1" applyBorder="1"/>
    <xf numFmtId="0" fontId="26" fillId="0" borderId="4" xfId="0" applyFont="1" applyBorder="1" applyAlignment="1">
      <alignment wrapText="1"/>
    </xf>
    <xf numFmtId="0" fontId="26" fillId="0" borderId="0" xfId="0" applyFont="1" applyAlignment="1">
      <alignment wrapText="1"/>
    </xf>
    <xf numFmtId="0" fontId="26" fillId="0" borderId="0" xfId="0" applyFont="1"/>
    <xf numFmtId="0" fontId="26" fillId="0" borderId="1" xfId="0" applyFont="1" applyBorder="1"/>
    <xf numFmtId="0" fontId="26" fillId="0" borderId="1" xfId="0" applyFont="1" applyBorder="1" applyAlignment="1">
      <alignment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/>
    <xf numFmtId="0" fontId="28" fillId="0" borderId="0" xfId="0" applyFont="1"/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7" fillId="0" borderId="0" xfId="0" applyFont="1"/>
    <xf numFmtId="0" fontId="32" fillId="0" borderId="0" xfId="0" applyFont="1"/>
    <xf numFmtId="0" fontId="33" fillId="0" borderId="0" xfId="0" applyFont="1" applyAlignment="1">
      <alignment vertical="center"/>
    </xf>
    <xf numFmtId="0" fontId="31" fillId="0" borderId="0" xfId="0" applyFont="1"/>
    <xf numFmtId="0" fontId="34" fillId="0" borderId="0" xfId="0" applyFont="1"/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/>
    <xf numFmtId="0" fontId="20" fillId="0" borderId="0" xfId="0" applyFont="1" applyAlignment="1">
      <alignment vertical="center"/>
    </xf>
    <xf numFmtId="0" fontId="37" fillId="0" borderId="0" xfId="0" applyFont="1"/>
    <xf numFmtId="0" fontId="38" fillId="0" borderId="0" xfId="0" applyFont="1"/>
    <xf numFmtId="0" fontId="3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3" fillId="0" borderId="0" xfId="0" applyFont="1"/>
    <xf numFmtId="0" fontId="44" fillId="0" borderId="0" xfId="0" applyFont="1"/>
    <xf numFmtId="0" fontId="23" fillId="2" borderId="0" xfId="0" applyFont="1" applyFill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wrapText="1"/>
    </xf>
    <xf numFmtId="0" fontId="16" fillId="2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0" fontId="4" fillId="2" borderId="0" xfId="0" applyFont="1" applyFill="1"/>
    <xf numFmtId="0" fontId="1" fillId="0" borderId="2" xfId="0" applyFont="1" applyBorder="1"/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167" fontId="1" fillId="0" borderId="2" xfId="0" applyNumberFormat="1" applyFont="1" applyBorder="1"/>
    <xf numFmtId="0" fontId="45" fillId="2" borderId="0" xfId="0" applyFont="1" applyFill="1"/>
    <xf numFmtId="0" fontId="46" fillId="2" borderId="0" xfId="0" applyFont="1" applyFill="1"/>
    <xf numFmtId="0" fontId="47" fillId="0" borderId="0" xfId="0" applyFont="1"/>
    <xf numFmtId="0" fontId="5" fillId="0" borderId="0" xfId="0" applyFont="1" applyAlignment="1">
      <alignment vertical="center"/>
    </xf>
    <xf numFmtId="0" fontId="45" fillId="2" borderId="0" xfId="0" applyFont="1" applyFill="1" applyAlignment="1">
      <alignment vertical="center"/>
    </xf>
    <xf numFmtId="0" fontId="4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7" fillId="2" borderId="0" xfId="0" applyFont="1" applyFill="1"/>
    <xf numFmtId="167" fontId="0" fillId="0" borderId="0" xfId="0" applyNumberFormat="1" applyAlignment="1">
      <alignment horizontal="right"/>
    </xf>
    <xf numFmtId="0" fontId="50" fillId="0" borderId="0" xfId="0" applyFont="1"/>
    <xf numFmtId="0" fontId="32" fillId="0" borderId="1" xfId="0" applyFont="1" applyBorder="1"/>
    <xf numFmtId="0" fontId="32" fillId="0" borderId="4" xfId="0" applyFont="1" applyBorder="1"/>
    <xf numFmtId="20" fontId="25" fillId="0" borderId="1" xfId="0" applyNumberFormat="1" applyFont="1" applyBorder="1"/>
    <xf numFmtId="44" fontId="51" fillId="0" borderId="1" xfId="0" applyNumberFormat="1" applyFont="1" applyBorder="1" applyAlignment="1">
      <alignment wrapText="1"/>
    </xf>
    <xf numFmtId="44" fontId="51" fillId="0" borderId="4" xfId="0" applyNumberFormat="1" applyFont="1" applyBorder="1" applyAlignment="1">
      <alignment wrapText="1"/>
    </xf>
    <xf numFmtId="20" fontId="22" fillId="0" borderId="4" xfId="0" applyNumberFormat="1" applyFont="1" applyBorder="1" applyAlignment="1">
      <alignment horizontal="left"/>
    </xf>
    <xf numFmtId="20" fontId="22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7" fontId="1" fillId="0" borderId="0" xfId="0" applyNumberFormat="1" applyFont="1" applyAlignment="1">
      <alignment horizontal="right"/>
    </xf>
    <xf numFmtId="0" fontId="42" fillId="0" borderId="0" xfId="0" applyFont="1" applyAlignment="1">
      <alignment horizontal="left" vertical="center"/>
    </xf>
    <xf numFmtId="0" fontId="7" fillId="2" borderId="0" xfId="0" applyFont="1" applyFill="1" applyAlignment="1">
      <alignment vertical="center"/>
    </xf>
    <xf numFmtId="0" fontId="1" fillId="0" borderId="0" xfId="0" applyFont="1"/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165" fontId="25" fillId="0" borderId="4" xfId="0" applyNumberFormat="1" applyFont="1" applyBorder="1" applyAlignment="1">
      <alignment horizontal="left"/>
    </xf>
    <xf numFmtId="0" fontId="52" fillId="0" borderId="0" xfId="0" applyFont="1" applyAlignment="1">
      <alignment horizontal="left" vertical="center"/>
    </xf>
    <xf numFmtId="14" fontId="22" fillId="0" borderId="4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D1C2F"/>
      <color rgb="FF1B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0</xdr:row>
      <xdr:rowOff>60960</xdr:rowOff>
    </xdr:from>
    <xdr:to>
      <xdr:col>8</xdr:col>
      <xdr:colOff>781685</xdr:colOff>
      <xdr:row>5</xdr:row>
      <xdr:rowOff>75532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34BC792B-6924-554D-83A6-1853161E3F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2440" y="60960"/>
          <a:ext cx="1033145" cy="1043272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</xdr:colOff>
      <xdr:row>0</xdr:row>
      <xdr:rowOff>60960</xdr:rowOff>
    </xdr:from>
    <xdr:to>
      <xdr:col>8</xdr:col>
      <xdr:colOff>781685</xdr:colOff>
      <xdr:row>5</xdr:row>
      <xdr:rowOff>75532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216CBDA-C727-B14D-97DF-49510F2179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2440" y="60960"/>
          <a:ext cx="1033145" cy="1043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0</xdr:row>
      <xdr:rowOff>60960</xdr:rowOff>
    </xdr:from>
    <xdr:to>
      <xdr:col>8</xdr:col>
      <xdr:colOff>781686</xdr:colOff>
      <xdr:row>5</xdr:row>
      <xdr:rowOff>75532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52434430-0888-E149-9629-800820B040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2440" y="60960"/>
          <a:ext cx="1033145" cy="1043272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</xdr:colOff>
      <xdr:row>0</xdr:row>
      <xdr:rowOff>60960</xdr:rowOff>
    </xdr:from>
    <xdr:to>
      <xdr:col>8</xdr:col>
      <xdr:colOff>781686</xdr:colOff>
      <xdr:row>5</xdr:row>
      <xdr:rowOff>75532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BA1F50F-7C3D-2249-9DC7-C65CA16ECD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2440" y="60960"/>
          <a:ext cx="1033145" cy="10432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3012439</xdr:colOff>
      <xdr:row>0</xdr:row>
      <xdr:rowOff>60960</xdr:rowOff>
    </xdr:from>
    <xdr:to>
      <xdr:col>4</xdr:col>
      <xdr:colOff>4041352</xdr:colOff>
      <xdr:row>5</xdr:row>
      <xdr:rowOff>75532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1CB6CABF-E5D0-904E-B83C-4E7CB55EF3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33439" y="60960"/>
          <a:ext cx="1028913" cy="10305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0</xdr:row>
      <xdr:rowOff>60960</xdr:rowOff>
    </xdr:from>
    <xdr:to>
      <xdr:col>8</xdr:col>
      <xdr:colOff>781685</xdr:colOff>
      <xdr:row>5</xdr:row>
      <xdr:rowOff>75532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3950FD19-A8C1-C1EF-DBCE-9C6327DBD3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91200" y="60960"/>
          <a:ext cx="1035685" cy="1040732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</xdr:colOff>
      <xdr:row>0</xdr:row>
      <xdr:rowOff>60960</xdr:rowOff>
    </xdr:from>
    <xdr:to>
      <xdr:col>8</xdr:col>
      <xdr:colOff>781685</xdr:colOff>
      <xdr:row>5</xdr:row>
      <xdr:rowOff>75532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F25742F-5428-A447-A12F-DDA19980DC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2440" y="60960"/>
          <a:ext cx="1033145" cy="10432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0</xdr:row>
      <xdr:rowOff>60960</xdr:rowOff>
    </xdr:from>
    <xdr:to>
      <xdr:col>8</xdr:col>
      <xdr:colOff>781685</xdr:colOff>
      <xdr:row>5</xdr:row>
      <xdr:rowOff>75532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145E8BE8-C1D5-5946-92CD-B7B1E3A6E4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2440" y="60960"/>
          <a:ext cx="1033145" cy="1043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849A-7CF6-EA4E-85F0-4826FA5E871D}">
  <sheetPr codeName="Sheet1"/>
  <dimension ref="A1:B38"/>
  <sheetViews>
    <sheetView zoomScale="130" zoomScaleNormal="130" workbookViewId="0">
      <selection activeCell="C25" sqref="C25"/>
    </sheetView>
  </sheetViews>
  <sheetFormatPr baseColWidth="10" defaultRowHeight="16" x14ac:dyDescent="0.2"/>
  <cols>
    <col min="1" max="1" width="22.83203125" customWidth="1"/>
    <col min="2" max="2" width="27.5" bestFit="1" customWidth="1"/>
    <col min="3" max="3" width="12.83203125" bestFit="1" customWidth="1"/>
    <col min="4" max="5" width="15.1640625" bestFit="1" customWidth="1"/>
    <col min="6" max="6" width="7.83203125" bestFit="1" customWidth="1"/>
    <col min="7" max="7" width="11.5" bestFit="1" customWidth="1"/>
    <col min="8" max="9" width="11.5" customWidth="1"/>
    <col min="10" max="10" width="12.1640625" bestFit="1" customWidth="1"/>
    <col min="11" max="11" width="11.83203125" bestFit="1" customWidth="1"/>
    <col min="12" max="12" width="10.83203125" bestFit="1" customWidth="1"/>
    <col min="13" max="13" width="9.33203125" bestFit="1" customWidth="1"/>
    <col min="14" max="14" width="10.1640625" bestFit="1" customWidth="1"/>
    <col min="15" max="15" width="10.33203125" bestFit="1" customWidth="1"/>
    <col min="16" max="16" width="13.6640625" bestFit="1" customWidth="1"/>
    <col min="17" max="17" width="18.1640625" bestFit="1" customWidth="1"/>
  </cols>
  <sheetData>
    <row r="1" spans="1:2" ht="24" x14ac:dyDescent="0.3">
      <c r="A1" s="106" t="s">
        <v>128</v>
      </c>
    </row>
    <row r="3" spans="1:2" ht="17" x14ac:dyDescent="0.25">
      <c r="A3" t="s">
        <v>16</v>
      </c>
      <c r="B3" s="74" t="s">
        <v>164</v>
      </c>
    </row>
    <row r="4" spans="1:2" ht="17" x14ac:dyDescent="0.25">
      <c r="A4" t="s">
        <v>129</v>
      </c>
      <c r="B4" s="74" t="s">
        <v>165</v>
      </c>
    </row>
    <row r="5" spans="1:2" ht="17" x14ac:dyDescent="0.25">
      <c r="A5" t="s">
        <v>130</v>
      </c>
      <c r="B5" s="74" t="s">
        <v>166</v>
      </c>
    </row>
    <row r="6" spans="1:2" ht="17" x14ac:dyDescent="0.25">
      <c r="A6" t="s">
        <v>131</v>
      </c>
      <c r="B6" s="74" t="s">
        <v>167</v>
      </c>
    </row>
    <row r="7" spans="1:2" ht="17" x14ac:dyDescent="0.25">
      <c r="A7" t="s">
        <v>132</v>
      </c>
      <c r="B7" s="74" t="s">
        <v>168</v>
      </c>
    </row>
    <row r="8" spans="1:2" ht="17" x14ac:dyDescent="0.25">
      <c r="A8" t="s">
        <v>133</v>
      </c>
      <c r="B8" s="74" t="s">
        <v>169</v>
      </c>
    </row>
    <row r="9" spans="1:2" ht="17" x14ac:dyDescent="0.25">
      <c r="A9" t="s">
        <v>17</v>
      </c>
      <c r="B9" s="74" t="s">
        <v>170</v>
      </c>
    </row>
    <row r="10" spans="1:2" ht="17" x14ac:dyDescent="0.25">
      <c r="A10" t="s">
        <v>18</v>
      </c>
      <c r="B10" s="74" t="s">
        <v>171</v>
      </c>
    </row>
    <row r="12" spans="1:2" ht="24" x14ac:dyDescent="0.3">
      <c r="A12" s="106" t="s">
        <v>134</v>
      </c>
    </row>
    <row r="13" spans="1:2" ht="17" x14ac:dyDescent="0.25">
      <c r="A13" t="s">
        <v>135</v>
      </c>
      <c r="B13" s="74" t="s">
        <v>172</v>
      </c>
    </row>
    <row r="14" spans="1:2" ht="17" x14ac:dyDescent="0.25">
      <c r="A14" t="s">
        <v>136</v>
      </c>
      <c r="B14" s="74" t="s">
        <v>173</v>
      </c>
    </row>
    <row r="15" spans="1:2" ht="17" x14ac:dyDescent="0.25">
      <c r="A15" t="s">
        <v>137</v>
      </c>
      <c r="B15" s="74" t="s">
        <v>174</v>
      </c>
    </row>
    <row r="16" spans="1:2" ht="17" x14ac:dyDescent="0.25">
      <c r="A16" t="s">
        <v>138</v>
      </c>
      <c r="B16" s="74" t="s">
        <v>175</v>
      </c>
    </row>
    <row r="18" spans="1:2" ht="24" x14ac:dyDescent="0.3">
      <c r="A18" s="106" t="s">
        <v>139</v>
      </c>
    </row>
    <row r="19" spans="1:2" ht="17" x14ac:dyDescent="0.25">
      <c r="A19" t="s">
        <v>16</v>
      </c>
      <c r="B19" s="74" t="s">
        <v>176</v>
      </c>
    </row>
    <row r="20" spans="1:2" ht="17" x14ac:dyDescent="0.25">
      <c r="A20" t="s">
        <v>131</v>
      </c>
      <c r="B20" s="74" t="s">
        <v>177</v>
      </c>
    </row>
    <row r="21" spans="1:2" ht="17" x14ac:dyDescent="0.25">
      <c r="A21" t="s">
        <v>132</v>
      </c>
      <c r="B21" s="74" t="s">
        <v>178</v>
      </c>
    </row>
    <row r="22" spans="1:2" ht="17" x14ac:dyDescent="0.25">
      <c r="A22" t="s">
        <v>133</v>
      </c>
      <c r="B22" s="74" t="s">
        <v>179</v>
      </c>
    </row>
    <row r="23" spans="1:2" ht="17" x14ac:dyDescent="0.25">
      <c r="A23" t="s">
        <v>17</v>
      </c>
      <c r="B23" s="74" t="s">
        <v>180</v>
      </c>
    </row>
    <row r="24" spans="1:2" ht="17" x14ac:dyDescent="0.25">
      <c r="A24" t="s">
        <v>18</v>
      </c>
      <c r="B24" s="74" t="s">
        <v>181</v>
      </c>
    </row>
    <row r="26" spans="1:2" ht="24" x14ac:dyDescent="0.3">
      <c r="A26" s="106" t="s">
        <v>140</v>
      </c>
    </row>
    <row r="27" spans="1:2" x14ac:dyDescent="0.2">
      <c r="A27" t="s">
        <v>151</v>
      </c>
      <c r="B27" s="12" t="s">
        <v>190</v>
      </c>
    </row>
    <row r="28" spans="1:2" x14ac:dyDescent="0.2">
      <c r="A28" t="s">
        <v>152</v>
      </c>
      <c r="B28" s="12" t="s">
        <v>182</v>
      </c>
    </row>
    <row r="29" spans="1:2" x14ac:dyDescent="0.2">
      <c r="A29" t="s">
        <v>156</v>
      </c>
      <c r="B29" s="12" t="s">
        <v>183</v>
      </c>
    </row>
    <row r="30" spans="1:2" x14ac:dyDescent="0.2">
      <c r="A30" t="s">
        <v>192</v>
      </c>
      <c r="B30" s="12" t="s">
        <v>193</v>
      </c>
    </row>
    <row r="31" spans="1:2" x14ac:dyDescent="0.2">
      <c r="A31" t="s">
        <v>19</v>
      </c>
      <c r="B31" s="12" t="s">
        <v>184</v>
      </c>
    </row>
    <row r="32" spans="1:2" x14ac:dyDescent="0.2">
      <c r="A32" t="s">
        <v>20</v>
      </c>
      <c r="B32" s="12" t="s">
        <v>185</v>
      </c>
    </row>
    <row r="33" spans="1:2" x14ac:dyDescent="0.2">
      <c r="A33" t="s">
        <v>21</v>
      </c>
      <c r="B33" t="s">
        <v>186</v>
      </c>
    </row>
    <row r="34" spans="1:2" x14ac:dyDescent="0.2">
      <c r="A34" t="s">
        <v>141</v>
      </c>
      <c r="B34" s="11" t="s">
        <v>187</v>
      </c>
    </row>
    <row r="36" spans="1:2" ht="24" x14ac:dyDescent="0.3">
      <c r="A36" s="106" t="s">
        <v>148</v>
      </c>
    </row>
    <row r="37" spans="1:2" x14ac:dyDescent="0.2">
      <c r="A37" t="s">
        <v>150</v>
      </c>
      <c r="B37" t="s">
        <v>188</v>
      </c>
    </row>
    <row r="38" spans="1:2" x14ac:dyDescent="0.2">
      <c r="A38" t="s">
        <v>149</v>
      </c>
      <c r="B38" t="s">
        <v>189</v>
      </c>
    </row>
  </sheetData>
  <phoneticPr fontId="10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F161-F59B-B64D-94E6-AC720AD5E982}">
  <sheetPr codeName="Sheet5">
    <pageSetUpPr fitToPage="1"/>
  </sheetPr>
  <dimension ref="B1:I54"/>
  <sheetViews>
    <sheetView showGridLines="0" zoomScaleNormal="100" zoomScalePageLayoutView="110" workbookViewId="0">
      <selection activeCell="B6" sqref="B6:B13"/>
    </sheetView>
  </sheetViews>
  <sheetFormatPr baseColWidth="10" defaultRowHeight="16" x14ac:dyDescent="0.2"/>
  <cols>
    <col min="1" max="1" width="2.83203125" customWidth="1"/>
    <col min="3" max="3" width="17.1640625" bestFit="1" customWidth="1"/>
    <col min="4" max="4" width="19.6640625" customWidth="1"/>
    <col min="5" max="5" width="23.83203125" style="3" bestFit="1" customWidth="1"/>
    <col min="7" max="7" width="3.1640625" customWidth="1"/>
    <col min="8" max="8" width="4.5" customWidth="1"/>
    <col min="9" max="9" width="12.6640625" customWidth="1"/>
    <col min="10" max="10" width="2.83203125" customWidth="1"/>
  </cols>
  <sheetData>
    <row r="1" spans="2:8" ht="17" x14ac:dyDescent="0.25">
      <c r="B1" s="2"/>
    </row>
    <row r="2" spans="2:8" x14ac:dyDescent="0.2">
      <c r="B2" s="118" t="s">
        <v>30</v>
      </c>
      <c r="C2" s="118"/>
      <c r="D2" s="85"/>
      <c r="E2" s="86"/>
      <c r="F2" s="85"/>
    </row>
    <row r="3" spans="2:8" x14ac:dyDescent="0.2">
      <c r="B3" s="118"/>
      <c r="C3" s="118"/>
      <c r="D3" s="85"/>
      <c r="E3" s="86"/>
      <c r="F3" s="85"/>
    </row>
    <row r="4" spans="2:8" x14ac:dyDescent="0.2">
      <c r="B4" s="7"/>
    </row>
    <row r="5" spans="2:8" x14ac:dyDescent="0.2">
      <c r="B5" s="119" t="s">
        <v>32</v>
      </c>
      <c r="C5" s="119"/>
      <c r="D5" s="26"/>
      <c r="E5" s="30" t="s">
        <v>31</v>
      </c>
    </row>
    <row r="6" spans="2:8" x14ac:dyDescent="0.2">
      <c r="B6" s="28" t="str">
        <f>'Client Data'!B3</f>
        <v>CLIENT_NAME</v>
      </c>
      <c r="C6" s="26"/>
      <c r="D6" s="26"/>
      <c r="E6" s="27">
        <f ca="1">TODAY()</f>
        <v>45925</v>
      </c>
    </row>
    <row r="7" spans="2:8" ht="15" customHeight="1" x14ac:dyDescent="0.2">
      <c r="B7" s="115" t="str">
        <f>'Client Data'!B4</f>
        <v>CLIENT_EMAIL</v>
      </c>
      <c r="C7" s="26"/>
      <c r="D7" s="26"/>
      <c r="E7" s="28"/>
      <c r="H7" s="4" t="s">
        <v>1</v>
      </c>
    </row>
    <row r="8" spans="2:8" ht="16" customHeight="1" x14ac:dyDescent="0.2">
      <c r="B8" s="28" t="str">
        <f>'Client Data'!B5</f>
        <v>CLIENT_PHONE</v>
      </c>
      <c r="C8" s="26"/>
      <c r="D8" s="26"/>
      <c r="E8" s="30" t="s">
        <v>25</v>
      </c>
      <c r="H8" s="4" t="s">
        <v>2</v>
      </c>
    </row>
    <row r="9" spans="2:8" x14ac:dyDescent="0.2">
      <c r="B9" s="1" t="str">
        <f>IF('Client Data'!B6&lt;&gt;"",'Client Data'!B6,"")</f>
        <v>CLIENT_ADDRESS1</v>
      </c>
      <c r="C9" s="26"/>
      <c r="D9" s="26"/>
      <c r="E9" s="28" t="str">
        <f>'Client Data'!B3</f>
        <v>CLIENT_NAME</v>
      </c>
      <c r="H9" s="4" t="s">
        <v>3</v>
      </c>
    </row>
    <row r="10" spans="2:8" x14ac:dyDescent="0.2">
      <c r="B10" s="1" t="str">
        <f>IF('Client Data'!B7&lt;&gt;"",'Client Data'!B7,"")</f>
        <v>CLIENT_ADDRESS2</v>
      </c>
      <c r="C10" s="26"/>
      <c r="D10" s="26"/>
      <c r="E10" s="29" t="str">
        <f>'Client Data'!B14</f>
        <v>EVENT_DATE</v>
      </c>
      <c r="H10" s="4" t="s">
        <v>4</v>
      </c>
    </row>
    <row r="11" spans="2:8" x14ac:dyDescent="0.2">
      <c r="B11" s="1" t="str">
        <f>IF('Client Data'!B8&lt;&gt;"",'Client Data'!B8,"")</f>
        <v>CLIENT_ADDRESS3</v>
      </c>
      <c r="C11" s="26"/>
      <c r="D11" s="26"/>
      <c r="H11" s="5" t="s">
        <v>5</v>
      </c>
    </row>
    <row r="12" spans="2:8" x14ac:dyDescent="0.2">
      <c r="B12" s="1" t="str">
        <f>IF('Client Data'!B9&lt;&gt;"",'Client Data'!B9,"")</f>
        <v>CLIENT_TOWN</v>
      </c>
      <c r="C12" s="26"/>
      <c r="D12" s="26"/>
    </row>
    <row r="13" spans="2:8" x14ac:dyDescent="0.2">
      <c r="B13" s="1" t="str">
        <f>IF('Client Data'!B10&lt;&gt;"",'Client Data'!B10,"")</f>
        <v>CLIENT_POSTCODE</v>
      </c>
      <c r="C13" s="26"/>
      <c r="D13" s="26"/>
    </row>
    <row r="14" spans="2:8" x14ac:dyDescent="0.2">
      <c r="B14" s="1"/>
    </row>
    <row r="20" spans="2:9" ht="20" customHeight="1" x14ac:dyDescent="0.2">
      <c r="B20" s="17" t="s">
        <v>6</v>
      </c>
      <c r="C20" s="17"/>
      <c r="D20" s="17"/>
      <c r="E20" s="17" t="s">
        <v>33</v>
      </c>
      <c r="F20" s="16" t="s">
        <v>159</v>
      </c>
      <c r="G20" s="24"/>
      <c r="H20" s="24"/>
      <c r="I20" s="25" t="s">
        <v>15</v>
      </c>
    </row>
    <row r="21" spans="2:9" ht="20" customHeight="1" x14ac:dyDescent="0.2">
      <c r="B21" s="31" t="s">
        <v>14</v>
      </c>
      <c r="C21" s="31"/>
      <c r="D21" s="31"/>
      <c r="E21" s="114" t="str">
        <f>'Client Data'!B19</f>
        <v>VENUE_NAME</v>
      </c>
      <c r="F21" s="13" t="str">
        <f>'Client Data'!B27</f>
        <v>AHMEN_FEE</v>
      </c>
      <c r="G21" s="3"/>
      <c r="H21" s="3"/>
    </row>
    <row r="22" spans="2:9" ht="20" customHeight="1" x14ac:dyDescent="0.2">
      <c r="B22" s="120" t="s">
        <v>152</v>
      </c>
      <c r="C22" s="120"/>
      <c r="D22" s="120"/>
      <c r="E22" s="120"/>
      <c r="F22" s="117" t="str">
        <f>'Client Data'!B28</f>
        <v>EXTRA_FEES</v>
      </c>
      <c r="G22" s="3"/>
      <c r="H22" s="3"/>
    </row>
    <row r="23" spans="2:9" ht="20" customHeight="1" x14ac:dyDescent="0.2">
      <c r="B23" s="3" t="s">
        <v>157</v>
      </c>
      <c r="C23" s="3"/>
      <c r="D23" s="3"/>
      <c r="F23" s="117" t="str">
        <f>'Client Data'!B29</f>
        <v>PRODUCTION_FEES</v>
      </c>
      <c r="G23" s="3"/>
      <c r="H23" s="3"/>
    </row>
    <row r="24" spans="2:9" ht="20" customHeight="1" x14ac:dyDescent="0.2">
      <c r="B24" s="3"/>
      <c r="C24" s="3"/>
      <c r="D24" s="3"/>
      <c r="F24" s="3"/>
      <c r="G24" s="3"/>
      <c r="H24" s="3"/>
      <c r="I24" s="9"/>
    </row>
    <row r="25" spans="2:9" ht="20" customHeight="1" x14ac:dyDescent="0.2">
      <c r="B25" s="120" t="s">
        <v>162</v>
      </c>
      <c r="C25" s="120"/>
      <c r="D25" s="120"/>
      <c r="E25" s="120"/>
      <c r="F25" s="3"/>
      <c r="G25" s="3"/>
      <c r="H25" s="3"/>
      <c r="I25" s="8" t="str">
        <f>'Client Data'!B31</f>
        <v>DEPOSIT_AMOUNT</v>
      </c>
    </row>
    <row r="26" spans="2:9" ht="20" customHeight="1" x14ac:dyDescent="0.2">
      <c r="B26" s="3" t="s">
        <v>163</v>
      </c>
      <c r="C26" s="3"/>
      <c r="D26" s="3"/>
      <c r="F26" s="3"/>
      <c r="G26" s="3"/>
      <c r="H26" s="3"/>
      <c r="I26" s="8" t="str">
        <f>'Client Data'!B32</f>
        <v>BALANCE_AMOUNT</v>
      </c>
    </row>
    <row r="27" spans="2:9" ht="20" customHeight="1" x14ac:dyDescent="0.2">
      <c r="B27" s="3"/>
      <c r="C27" s="3"/>
      <c r="D27" s="3"/>
      <c r="F27" s="3"/>
      <c r="G27" s="3"/>
      <c r="H27" s="3"/>
      <c r="I27" s="8"/>
    </row>
    <row r="28" spans="2:9" ht="20" customHeight="1" x14ac:dyDescent="0.2">
      <c r="B28" s="93"/>
      <c r="C28" s="93"/>
      <c r="D28" s="93"/>
      <c r="E28" s="93"/>
      <c r="F28" s="93"/>
      <c r="G28" s="93"/>
      <c r="H28" s="93"/>
      <c r="I28" s="96"/>
    </row>
    <row r="29" spans="2:9" ht="20" customHeight="1" x14ac:dyDescent="0.2">
      <c r="B29" s="3"/>
      <c r="C29" s="3"/>
      <c r="D29" s="3"/>
      <c r="F29" s="19" t="s">
        <v>7</v>
      </c>
      <c r="G29" s="1"/>
      <c r="H29" s="1"/>
      <c r="I29" s="20">
        <f>SUM(I21:I28)</f>
        <v>0</v>
      </c>
    </row>
    <row r="30" spans="2:9" ht="20" customHeight="1" x14ac:dyDescent="0.2">
      <c r="B30" s="3"/>
      <c r="C30" s="3"/>
      <c r="D30" s="3"/>
      <c r="F30" s="21" t="s">
        <v>13</v>
      </c>
      <c r="G30" s="22"/>
      <c r="H30" s="22"/>
      <c r="I30" s="23">
        <v>0</v>
      </c>
    </row>
    <row r="31" spans="2:9" ht="20" customHeight="1" x14ac:dyDescent="0.2">
      <c r="B31" s="3"/>
      <c r="C31" s="3"/>
      <c r="D31" s="3"/>
      <c r="F31" s="16" t="s">
        <v>27</v>
      </c>
      <c r="G31" s="17"/>
      <c r="H31" s="17"/>
      <c r="I31" s="18">
        <f>SUM(I29:I30)</f>
        <v>0</v>
      </c>
    </row>
    <row r="32" spans="2:9" x14ac:dyDescent="0.2">
      <c r="I32" s="6"/>
    </row>
    <row r="33" spans="2:9" ht="17" x14ac:dyDescent="0.2">
      <c r="B33" s="94"/>
      <c r="C33" s="95"/>
      <c r="I33" s="6"/>
    </row>
    <row r="34" spans="2:9" x14ac:dyDescent="0.2">
      <c r="B34" s="1"/>
      <c r="I34" s="6"/>
    </row>
    <row r="35" spans="2:9" x14ac:dyDescent="0.2">
      <c r="B35" s="1"/>
      <c r="I35" s="6"/>
    </row>
    <row r="36" spans="2:9" x14ac:dyDescent="0.2">
      <c r="B36" s="1"/>
      <c r="I36" s="6"/>
    </row>
    <row r="37" spans="2:9" x14ac:dyDescent="0.2">
      <c r="B37" s="1"/>
      <c r="I37" s="6"/>
    </row>
    <row r="38" spans="2:9" x14ac:dyDescent="0.2">
      <c r="B38" s="1"/>
      <c r="I38" s="6"/>
    </row>
    <row r="39" spans="2:9" x14ac:dyDescent="0.2">
      <c r="B39" s="1"/>
      <c r="I39" s="6"/>
    </row>
    <row r="40" spans="2:9" ht="13" customHeight="1" x14ac:dyDescent="0.2">
      <c r="I40" s="6"/>
    </row>
    <row r="41" spans="2:9" ht="13" customHeight="1" x14ac:dyDescent="0.2">
      <c r="I41" s="6"/>
    </row>
    <row r="42" spans="2:9" ht="13" customHeight="1" x14ac:dyDescent="0.2">
      <c r="I42" s="6"/>
    </row>
    <row r="43" spans="2:9" ht="13" customHeight="1" x14ac:dyDescent="0.2">
      <c r="I43" s="6"/>
    </row>
    <row r="44" spans="2:9" ht="13" customHeight="1" x14ac:dyDescent="0.2">
      <c r="I44" s="6"/>
    </row>
    <row r="45" spans="2:9" ht="13" customHeight="1" x14ac:dyDescent="0.2">
      <c r="I45" s="6"/>
    </row>
    <row r="46" spans="2:9" ht="13" customHeight="1" x14ac:dyDescent="0.2">
      <c r="I46" s="6"/>
    </row>
    <row r="47" spans="2:9" ht="13" customHeight="1" x14ac:dyDescent="0.2">
      <c r="I47" s="6"/>
    </row>
    <row r="48" spans="2:9" ht="13" customHeight="1" x14ac:dyDescent="0.2">
      <c r="I48" s="6"/>
    </row>
    <row r="49" spans="2:9" ht="13" customHeight="1" x14ac:dyDescent="0.2">
      <c r="I49" s="6"/>
    </row>
    <row r="50" spans="2:9" ht="13" customHeight="1" x14ac:dyDescent="0.2">
      <c r="I50" s="6"/>
    </row>
    <row r="51" spans="2:9" ht="13" customHeight="1" x14ac:dyDescent="0.2">
      <c r="I51" s="6"/>
    </row>
    <row r="52" spans="2:9" ht="13" customHeight="1" x14ac:dyDescent="0.2"/>
    <row r="53" spans="2:9" ht="13" customHeight="1" x14ac:dyDescent="0.2"/>
    <row r="54" spans="2:9" x14ac:dyDescent="0.2">
      <c r="B54" s="81"/>
    </row>
  </sheetData>
  <mergeCells count="4">
    <mergeCell ref="B2:C3"/>
    <mergeCell ref="B5:C5"/>
    <mergeCell ref="B22:E22"/>
    <mergeCell ref="B25:E25"/>
  </mergeCells>
  <pageMargins left="0.25" right="0.25" top="0.75" bottom="0.75" header="0.3" footer="0.3"/>
  <pageSetup paperSize="9" scale="85" orientation="portrait" horizontalDpi="0" verticalDpi="0"/>
  <headerFooter>
    <oddFooter>&amp;C&amp;"Arial Unicode MS,Regular"&amp;7Company Registration No: 10571250. Registered Office: Flat 2, Alloa Court, 139 Ashfield Road, London, N14 7PE, United Kingdom.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91C8-A622-FC44-BC00-DC1D7C8118F7}">
  <sheetPr codeName="Sheet6">
    <pageSetUpPr fitToPage="1"/>
  </sheetPr>
  <dimension ref="A1:U151"/>
  <sheetViews>
    <sheetView showGridLines="0" tabSelected="1" topLeftCell="A41" zoomScale="120" zoomScaleNormal="120" zoomScalePageLayoutView="110" workbookViewId="0">
      <selection activeCell="D73" sqref="D73:D74"/>
    </sheetView>
  </sheetViews>
  <sheetFormatPr baseColWidth="10" defaultRowHeight="16" x14ac:dyDescent="0.2"/>
  <cols>
    <col min="1" max="1" width="2.83203125" customWidth="1"/>
    <col min="2" max="2" width="14.83203125" customWidth="1"/>
    <col min="3" max="3" width="12" customWidth="1"/>
    <col min="4" max="4" width="17" customWidth="1"/>
    <col min="5" max="5" width="18.1640625" customWidth="1"/>
    <col min="6" max="6" width="20.83203125" customWidth="1"/>
    <col min="7" max="7" width="3.1640625" customWidth="1"/>
    <col min="8" max="8" width="4.5" customWidth="1"/>
    <col min="9" max="9" width="12.6640625" customWidth="1"/>
    <col min="10" max="10" width="2.83203125" customWidth="1"/>
  </cols>
  <sheetData>
    <row r="1" spans="1:9" ht="17" x14ac:dyDescent="0.25">
      <c r="B1" s="2"/>
      <c r="C1" s="2"/>
      <c r="D1" s="2"/>
      <c r="E1" s="2"/>
    </row>
    <row r="2" spans="1:9" ht="16" customHeight="1" x14ac:dyDescent="0.2">
      <c r="B2" s="118" t="s">
        <v>34</v>
      </c>
      <c r="C2" s="118"/>
      <c r="D2" s="118"/>
      <c r="E2" s="118"/>
      <c r="F2" s="118"/>
    </row>
    <row r="3" spans="1:9" ht="16" customHeight="1" x14ac:dyDescent="0.2">
      <c r="B3" s="118"/>
      <c r="C3" s="118"/>
      <c r="D3" s="118"/>
      <c r="E3" s="118"/>
      <c r="F3" s="118"/>
    </row>
    <row r="4" spans="1:9" x14ac:dyDescent="0.2">
      <c r="B4" s="7"/>
      <c r="C4" s="7"/>
      <c r="D4" s="7"/>
      <c r="E4" s="7"/>
    </row>
    <row r="5" spans="1:9" x14ac:dyDescent="0.2">
      <c r="B5" s="123"/>
      <c r="C5" s="123"/>
      <c r="D5" s="123"/>
      <c r="E5" s="123"/>
      <c r="F5" s="123"/>
    </row>
    <row r="6" spans="1:9" x14ac:dyDescent="0.2">
      <c r="B6" s="42"/>
      <c r="C6" s="42"/>
      <c r="D6" s="42"/>
      <c r="E6" s="42"/>
      <c r="F6" s="43"/>
    </row>
    <row r="7" spans="1:9" ht="15" customHeight="1" x14ac:dyDescent="0.2">
      <c r="B7" s="44"/>
      <c r="C7" s="44"/>
      <c r="D7" s="44"/>
      <c r="E7" s="44"/>
      <c r="F7" s="43"/>
      <c r="H7" s="4" t="s">
        <v>1</v>
      </c>
    </row>
    <row r="8" spans="1:9" ht="16" customHeight="1" x14ac:dyDescent="0.2">
      <c r="B8" s="42"/>
      <c r="C8" s="42"/>
      <c r="D8" s="42"/>
      <c r="E8" s="42"/>
      <c r="F8" s="43"/>
      <c r="H8" s="4" t="s">
        <v>2</v>
      </c>
    </row>
    <row r="9" spans="1:9" x14ac:dyDescent="0.2">
      <c r="B9" s="42"/>
      <c r="C9" s="42"/>
      <c r="D9" s="42"/>
      <c r="E9" s="42"/>
      <c r="F9" s="43"/>
      <c r="H9" s="4" t="s">
        <v>3</v>
      </c>
    </row>
    <row r="10" spans="1:9" x14ac:dyDescent="0.2">
      <c r="B10" s="42"/>
      <c r="C10" s="42"/>
      <c r="D10" s="42"/>
      <c r="E10" s="42"/>
      <c r="F10" s="43"/>
      <c r="H10" s="4" t="s">
        <v>4</v>
      </c>
    </row>
    <row r="11" spans="1:9" x14ac:dyDescent="0.2">
      <c r="B11" s="42"/>
      <c r="C11" s="42"/>
      <c r="D11" s="42"/>
      <c r="E11" s="42"/>
      <c r="F11" s="43"/>
      <c r="H11" s="5" t="s">
        <v>5</v>
      </c>
    </row>
    <row r="12" spans="1:9" x14ac:dyDescent="0.2">
      <c r="B12" s="42"/>
      <c r="C12" s="42"/>
      <c r="D12" s="42"/>
      <c r="E12" s="42"/>
      <c r="F12" s="43"/>
    </row>
    <row r="13" spans="1:9" x14ac:dyDescent="0.2">
      <c r="B13" s="124"/>
      <c r="C13" s="124"/>
      <c r="D13" s="124"/>
      <c r="E13" s="124"/>
      <c r="F13" s="124"/>
    </row>
    <row r="14" spans="1:9" ht="20" customHeight="1" x14ac:dyDescent="0.3">
      <c r="A14" s="48"/>
      <c r="B14" s="121" t="s">
        <v>36</v>
      </c>
      <c r="C14" s="121"/>
      <c r="D14" s="121"/>
      <c r="E14" s="88"/>
      <c r="F14" s="89"/>
      <c r="G14" s="90"/>
      <c r="H14" s="90"/>
      <c r="I14" s="90"/>
    </row>
    <row r="15" spans="1:9" ht="20" customHeight="1" x14ac:dyDescent="0.25">
      <c r="A15" s="48"/>
      <c r="B15" s="48"/>
      <c r="C15" s="48"/>
      <c r="D15" s="48"/>
      <c r="E15" s="48"/>
      <c r="F15" s="48"/>
    </row>
    <row r="16" spans="1:9" ht="20" customHeight="1" x14ac:dyDescent="0.25">
      <c r="A16" s="48"/>
      <c r="B16" s="64" t="s">
        <v>44</v>
      </c>
      <c r="C16" s="49"/>
      <c r="D16" s="50" t="str">
        <f>'Client Data'!B3</f>
        <v>CLIENT_NAME</v>
      </c>
      <c r="E16" s="51"/>
      <c r="F16" s="52"/>
      <c r="G16" s="52"/>
      <c r="H16" s="52"/>
      <c r="I16" s="52"/>
    </row>
    <row r="17" spans="1:21" ht="20" customHeight="1" x14ac:dyDescent="0.25">
      <c r="A17" s="48"/>
      <c r="B17" s="65" t="s">
        <v>38</v>
      </c>
      <c r="C17" s="53"/>
      <c r="D17" s="54" t="str">
        <f>'Client Data'!B4</f>
        <v>CLIENT_EMAIL</v>
      </c>
      <c r="E17" s="55"/>
      <c r="F17" s="56"/>
      <c r="G17" s="56"/>
      <c r="H17" s="56"/>
      <c r="I17" s="56"/>
    </row>
    <row r="18" spans="1:21" ht="20" customHeight="1" x14ac:dyDescent="0.3">
      <c r="A18" s="48"/>
      <c r="B18" s="66" t="s">
        <v>37</v>
      </c>
      <c r="C18" s="57"/>
      <c r="D18" s="54" t="str">
        <f>'Client Data'!B5</f>
        <v>CLIENT_PHONE</v>
      </c>
      <c r="E18" s="58"/>
      <c r="F18" s="56"/>
      <c r="G18" s="56"/>
      <c r="H18" s="56"/>
      <c r="I18" s="56"/>
      <c r="U18" s="32"/>
    </row>
    <row r="19" spans="1:21" ht="20" customHeight="1" x14ac:dyDescent="0.25">
      <c r="A19" s="48"/>
      <c r="B19" s="64" t="s">
        <v>127</v>
      </c>
      <c r="C19" s="49"/>
      <c r="D19" s="125" t="str">
        <f>'Client Data'!B14</f>
        <v>EVENT_DATE</v>
      </c>
      <c r="E19" s="125"/>
      <c r="F19" s="56"/>
      <c r="G19" s="56"/>
      <c r="H19" s="56"/>
      <c r="I19" s="56"/>
      <c r="U19" s="32"/>
    </row>
    <row r="20" spans="1:21" ht="20" customHeight="1" x14ac:dyDescent="0.25">
      <c r="A20" s="48"/>
      <c r="B20" s="65" t="s">
        <v>45</v>
      </c>
      <c r="C20" s="53"/>
      <c r="D20" s="54" t="str">
        <f>'Client Data'!B19</f>
        <v>VENUE_NAME</v>
      </c>
      <c r="E20" s="55"/>
      <c r="F20" s="56"/>
      <c r="G20" s="56"/>
      <c r="H20" s="56"/>
      <c r="I20" s="56"/>
      <c r="U20" s="33"/>
    </row>
    <row r="21" spans="1:21" ht="20" customHeight="1" x14ac:dyDescent="0.25">
      <c r="A21" s="48"/>
      <c r="C21" s="48"/>
      <c r="D21" s="54" t="str">
        <f>IF('Client Data'!B20&lt;&gt;"",'Client Data'!B20,"")</f>
        <v>VENUE_ADDRESS1</v>
      </c>
      <c r="E21" s="55"/>
      <c r="F21" s="56"/>
      <c r="G21" s="56"/>
      <c r="H21" s="56"/>
      <c r="I21" s="56"/>
      <c r="U21" s="33"/>
    </row>
    <row r="22" spans="1:21" ht="20" customHeight="1" x14ac:dyDescent="0.25">
      <c r="A22" s="48"/>
      <c r="C22" s="48"/>
      <c r="D22" s="54" t="str">
        <f>IF('Client Data'!B21&lt;&gt;"",'Client Data'!B21,"")</f>
        <v>VENUE_ADDRESS2</v>
      </c>
      <c r="E22" s="55"/>
      <c r="F22" s="56"/>
      <c r="G22" s="56"/>
      <c r="H22" s="56"/>
      <c r="I22" s="56"/>
      <c r="U22" s="33"/>
    </row>
    <row r="23" spans="1:21" ht="20" customHeight="1" x14ac:dyDescent="0.25">
      <c r="A23" s="48"/>
      <c r="C23" s="48"/>
      <c r="D23" s="54" t="str">
        <f>IF('Client Data'!B23&lt;&gt;"",'Client Data'!B23,"")</f>
        <v>VENUE_TOWN</v>
      </c>
      <c r="E23" s="55"/>
      <c r="F23" s="56"/>
      <c r="G23" s="56"/>
      <c r="H23" s="56"/>
      <c r="I23" s="56"/>
      <c r="U23" s="33"/>
    </row>
    <row r="24" spans="1:21" ht="20" customHeight="1" x14ac:dyDescent="0.25">
      <c r="A24" s="48"/>
      <c r="C24" s="48"/>
      <c r="D24" s="54" t="str">
        <f>IF('Client Data'!B24&lt;&gt;"",'Client Data'!B24,"")</f>
        <v>VENUE_POSTCODE</v>
      </c>
      <c r="E24" s="56"/>
      <c r="F24" s="56"/>
      <c r="G24" s="56"/>
      <c r="H24" s="56"/>
      <c r="I24" s="56"/>
      <c r="U24" s="34"/>
    </row>
    <row r="25" spans="1:21" ht="20" customHeight="1" x14ac:dyDescent="0.25">
      <c r="A25" s="48"/>
      <c r="B25" s="65" t="s">
        <v>35</v>
      </c>
      <c r="C25" s="53"/>
      <c r="D25" s="112" t="str">
        <f>'Client Data'!B15</f>
        <v>EVENT_START</v>
      </c>
      <c r="E25" s="56"/>
      <c r="F25" s="56"/>
      <c r="G25" s="56"/>
      <c r="H25" s="56"/>
      <c r="I25" s="56"/>
      <c r="U25" s="34"/>
    </row>
    <row r="26" spans="1:21" ht="20" customHeight="1" x14ac:dyDescent="0.3">
      <c r="A26" s="48"/>
      <c r="B26" s="64" t="s">
        <v>46</v>
      </c>
      <c r="C26" s="48"/>
      <c r="D26" s="113" t="str">
        <f>'Client Data'!B16</f>
        <v>EVENT_END</v>
      </c>
      <c r="E26" s="59"/>
      <c r="F26" s="59"/>
      <c r="G26" s="59"/>
      <c r="H26" s="59"/>
      <c r="I26" s="59"/>
      <c r="U26" s="34"/>
    </row>
    <row r="27" spans="1:21" ht="20" customHeight="1" x14ac:dyDescent="0.3">
      <c r="A27" s="48"/>
      <c r="B27" s="64" t="s">
        <v>47</v>
      </c>
      <c r="C27" s="48"/>
      <c r="D27" s="54" t="str">
        <f>'Client Data'!B13</f>
        <v>EVENT_TYPE</v>
      </c>
      <c r="E27" s="59"/>
      <c r="F27" s="59"/>
      <c r="G27" s="59"/>
      <c r="H27" s="59"/>
      <c r="I27" s="59"/>
      <c r="U27" s="34"/>
    </row>
    <row r="28" spans="1:21" ht="20" customHeight="1" x14ac:dyDescent="0.3">
      <c r="A28" s="48"/>
      <c r="B28" s="60"/>
      <c r="C28" s="60"/>
      <c r="D28" s="60"/>
      <c r="E28" s="60"/>
      <c r="F28" s="60"/>
      <c r="G28" s="45"/>
      <c r="H28" s="45"/>
      <c r="I28" s="45"/>
      <c r="U28" s="35"/>
    </row>
    <row r="29" spans="1:21" ht="20" customHeight="1" x14ac:dyDescent="0.3">
      <c r="A29" s="48"/>
      <c r="B29" s="60"/>
      <c r="C29" s="60"/>
      <c r="D29" s="60"/>
      <c r="E29" s="60"/>
      <c r="F29" s="60"/>
      <c r="G29" s="45"/>
      <c r="H29" s="45"/>
      <c r="I29" s="45"/>
      <c r="U29" s="34"/>
    </row>
    <row r="30" spans="1:21" ht="20" customHeight="1" x14ac:dyDescent="0.3">
      <c r="A30" s="48"/>
      <c r="B30" s="121" t="s">
        <v>39</v>
      </c>
      <c r="C30" s="121"/>
      <c r="D30" s="121"/>
      <c r="E30" s="88"/>
      <c r="F30" s="89"/>
      <c r="G30" s="90"/>
      <c r="H30" s="90"/>
      <c r="I30" s="90"/>
      <c r="U30" s="34"/>
    </row>
    <row r="31" spans="1:21" ht="20" customHeight="1" x14ac:dyDescent="0.3">
      <c r="A31" s="48"/>
      <c r="B31" s="48"/>
      <c r="C31" s="48"/>
      <c r="D31" s="48"/>
      <c r="E31" s="60"/>
      <c r="F31" s="60"/>
      <c r="G31" s="45"/>
      <c r="H31" s="45"/>
      <c r="I31" s="45"/>
      <c r="U31" s="36"/>
    </row>
    <row r="32" spans="1:21" ht="20" customHeight="1" x14ac:dyDescent="0.3">
      <c r="A32" s="48"/>
      <c r="B32" s="64" t="s">
        <v>48</v>
      </c>
      <c r="C32" s="61"/>
      <c r="D32" s="109" t="str">
        <f>'Client Data'!B37</f>
        <v>SERVICE_TYPE</v>
      </c>
      <c r="E32" s="62"/>
      <c r="F32" s="63"/>
      <c r="G32" s="63"/>
      <c r="H32" s="63"/>
      <c r="I32" s="63"/>
      <c r="U32" s="36"/>
    </row>
    <row r="33" spans="1:21" ht="20" customHeight="1" x14ac:dyDescent="0.3">
      <c r="A33" s="48"/>
      <c r="B33" s="64" t="s">
        <v>49</v>
      </c>
      <c r="C33" s="61"/>
      <c r="D33" s="109" t="str">
        <f>'Client Data'!B38</f>
        <v>SPECIALIST_SINGERS</v>
      </c>
      <c r="E33" s="50"/>
      <c r="F33" s="50"/>
      <c r="G33" s="50"/>
      <c r="H33" s="50"/>
      <c r="I33" s="50"/>
      <c r="U33" s="34"/>
    </row>
    <row r="34" spans="1:21" ht="20" customHeight="1" x14ac:dyDescent="0.3">
      <c r="A34" s="48"/>
      <c r="B34" s="64" t="s">
        <v>154</v>
      </c>
      <c r="C34" s="61"/>
      <c r="D34" s="67" t="s">
        <v>153</v>
      </c>
      <c r="F34" s="60"/>
      <c r="G34" s="60"/>
      <c r="H34" s="60"/>
      <c r="I34" s="60"/>
      <c r="U34" s="34"/>
    </row>
    <row r="35" spans="1:21" ht="20" customHeight="1" x14ac:dyDescent="0.3">
      <c r="A35" s="48"/>
      <c r="B35" s="64" t="s">
        <v>50</v>
      </c>
      <c r="C35" s="61"/>
      <c r="D35" s="61"/>
      <c r="E35" s="51"/>
      <c r="F35" s="52"/>
      <c r="G35" s="52"/>
      <c r="H35" s="52"/>
      <c r="I35" s="52"/>
      <c r="U35" s="35"/>
    </row>
    <row r="36" spans="1:21" ht="20" customHeight="1" x14ac:dyDescent="0.3">
      <c r="A36" s="48"/>
      <c r="B36" s="62"/>
      <c r="C36" s="62"/>
      <c r="D36" s="62"/>
      <c r="E36" s="55"/>
      <c r="F36" s="56"/>
      <c r="G36" s="56"/>
      <c r="H36" s="56"/>
      <c r="I36" s="56"/>
      <c r="U36" s="34"/>
    </row>
    <row r="37" spans="1:21" ht="20" customHeight="1" x14ac:dyDescent="0.3">
      <c r="A37" s="48"/>
      <c r="B37" s="61"/>
      <c r="C37" s="61"/>
      <c r="D37" s="61"/>
      <c r="E37" s="61"/>
      <c r="F37" s="60"/>
      <c r="G37" s="45"/>
      <c r="H37" s="45"/>
      <c r="I37" s="45"/>
      <c r="U37" s="36"/>
    </row>
    <row r="38" spans="1:21" ht="20" customHeight="1" x14ac:dyDescent="0.3">
      <c r="A38" s="48"/>
      <c r="B38" s="61"/>
      <c r="C38" s="61"/>
      <c r="D38" s="61"/>
      <c r="E38" s="61"/>
      <c r="F38" s="60"/>
      <c r="G38" s="45"/>
      <c r="H38" s="45"/>
      <c r="I38" s="45"/>
      <c r="U38" s="36"/>
    </row>
    <row r="39" spans="1:21" ht="20" customHeight="1" x14ac:dyDescent="0.3">
      <c r="A39" s="48"/>
      <c r="B39" s="122" t="s">
        <v>40</v>
      </c>
      <c r="C39" s="122"/>
      <c r="D39" s="122"/>
      <c r="E39" s="88"/>
      <c r="F39" s="89"/>
      <c r="G39" s="90"/>
      <c r="H39" s="90"/>
      <c r="I39" s="90"/>
      <c r="U39" s="37"/>
    </row>
    <row r="40" spans="1:21" ht="20" customHeight="1" x14ac:dyDescent="0.25">
      <c r="A40" s="48"/>
      <c r="B40" s="48"/>
      <c r="C40" s="48"/>
      <c r="D40" s="48"/>
      <c r="E40" s="48"/>
      <c r="F40" s="48"/>
      <c r="G40" s="45"/>
      <c r="H40" s="45"/>
      <c r="I40" s="45"/>
      <c r="U40" s="38"/>
    </row>
    <row r="41" spans="1:21" ht="20" customHeight="1" x14ac:dyDescent="0.3">
      <c r="A41" s="48"/>
      <c r="B41" s="64" t="s">
        <v>51</v>
      </c>
      <c r="C41" s="61"/>
      <c r="D41" s="61"/>
      <c r="E41" s="61"/>
      <c r="G41" s="60" t="s">
        <v>41</v>
      </c>
      <c r="H41" s="45"/>
      <c r="I41" s="45"/>
      <c r="U41" s="37"/>
    </row>
    <row r="42" spans="1:21" ht="20" customHeight="1" x14ac:dyDescent="0.3">
      <c r="A42" s="48"/>
      <c r="B42" s="64" t="s">
        <v>43</v>
      </c>
      <c r="C42" s="61"/>
      <c r="D42" s="61"/>
      <c r="E42" s="61"/>
      <c r="G42" s="60" t="s">
        <v>41</v>
      </c>
      <c r="H42" s="45"/>
      <c r="I42" s="45"/>
      <c r="U42" s="37"/>
    </row>
    <row r="43" spans="1:21" ht="20" customHeight="1" x14ac:dyDescent="0.3">
      <c r="A43" s="48"/>
      <c r="B43" s="64" t="s">
        <v>52</v>
      </c>
      <c r="C43" s="61"/>
      <c r="D43" s="50"/>
      <c r="E43" s="62"/>
      <c r="F43" s="63"/>
      <c r="G43" s="45"/>
      <c r="H43" s="45"/>
      <c r="I43" s="45"/>
      <c r="U43" s="37"/>
    </row>
    <row r="44" spans="1:21" ht="20" customHeight="1" x14ac:dyDescent="0.3">
      <c r="A44" s="48"/>
      <c r="B44" s="64" t="s">
        <v>42</v>
      </c>
      <c r="C44" s="61"/>
      <c r="D44" s="61"/>
      <c r="E44" s="61"/>
      <c r="F44" s="60"/>
      <c r="G44" s="45"/>
      <c r="H44" s="45"/>
      <c r="I44" s="45"/>
      <c r="U44" s="37"/>
    </row>
    <row r="45" spans="1:21" ht="20" customHeight="1" x14ac:dyDescent="0.3">
      <c r="A45" s="48"/>
      <c r="B45" s="67" t="s">
        <v>53</v>
      </c>
      <c r="C45" s="61"/>
      <c r="D45" s="61"/>
      <c r="E45" s="61"/>
      <c r="G45" s="60" t="s">
        <v>41</v>
      </c>
      <c r="H45" s="45"/>
      <c r="I45" s="45"/>
      <c r="U45" s="38"/>
    </row>
    <row r="46" spans="1:21" ht="20" customHeight="1" x14ac:dyDescent="0.2">
      <c r="B46" s="45"/>
      <c r="C46" s="45"/>
      <c r="D46" s="45"/>
      <c r="E46" s="45"/>
      <c r="F46" s="45"/>
      <c r="G46" s="45"/>
      <c r="H46" s="45"/>
      <c r="I46" s="45"/>
      <c r="U46" s="37"/>
    </row>
    <row r="47" spans="1:21" ht="20" customHeight="1" x14ac:dyDescent="0.2">
      <c r="B47" s="87" t="s">
        <v>54</v>
      </c>
      <c r="C47" s="91"/>
      <c r="D47" s="91"/>
      <c r="E47" s="91"/>
      <c r="F47" s="91"/>
      <c r="G47" s="91"/>
      <c r="H47" s="91"/>
      <c r="I47" s="91"/>
      <c r="J47" s="7"/>
      <c r="U47" s="38"/>
    </row>
    <row r="48" spans="1:21" ht="20" customHeight="1" x14ac:dyDescent="0.2">
      <c r="E48" s="45"/>
      <c r="F48" s="45"/>
      <c r="G48" s="45"/>
      <c r="H48" s="45"/>
      <c r="I48" s="45"/>
      <c r="U48" s="37"/>
    </row>
    <row r="49" spans="2:21" ht="20" customHeight="1" x14ac:dyDescent="0.25">
      <c r="B49" s="65" t="s">
        <v>194</v>
      </c>
      <c r="C49" s="45"/>
      <c r="D49" s="45"/>
      <c r="E49" s="45"/>
      <c r="F49" s="110" t="str">
        <f>'Client Data'!B27</f>
        <v>AHMEN_FEE</v>
      </c>
      <c r="G49" s="45"/>
      <c r="H49" s="45"/>
      <c r="I49" s="45"/>
      <c r="U49" s="39"/>
    </row>
    <row r="50" spans="2:21" ht="20" customHeight="1" x14ac:dyDescent="0.25">
      <c r="B50" s="65" t="s">
        <v>142</v>
      </c>
      <c r="C50" s="45"/>
      <c r="D50" s="45"/>
      <c r="E50" s="45"/>
      <c r="F50" s="111" t="str">
        <f>'Client Data'!B28</f>
        <v>EXTRA_FEES</v>
      </c>
      <c r="G50" s="45"/>
      <c r="H50" s="45"/>
      <c r="I50" s="45"/>
      <c r="U50" s="32"/>
    </row>
    <row r="51" spans="2:21" ht="20" customHeight="1" x14ac:dyDescent="0.25">
      <c r="B51" s="65" t="s">
        <v>191</v>
      </c>
      <c r="C51" s="45"/>
      <c r="D51" s="45"/>
      <c r="E51" s="45"/>
      <c r="F51" s="111" t="str">
        <f>'Client Data'!B29</f>
        <v>PRODUCTION_FEES</v>
      </c>
      <c r="G51" s="45"/>
      <c r="H51" s="45"/>
      <c r="I51" s="45"/>
      <c r="U51" s="32"/>
    </row>
    <row r="52" spans="2:21" ht="20" customHeight="1" x14ac:dyDescent="0.25">
      <c r="B52" s="65" t="s">
        <v>195</v>
      </c>
      <c r="C52" s="45"/>
      <c r="D52" s="45"/>
      <c r="E52" s="45"/>
      <c r="F52" s="111" t="str">
        <f>'Client Data'!B30</f>
        <v>TOTAL_FEES</v>
      </c>
      <c r="G52" s="45"/>
      <c r="H52" s="45"/>
      <c r="I52" s="45"/>
      <c r="U52" s="32"/>
    </row>
    <row r="53" spans="2:21" ht="20" customHeight="1" x14ac:dyDescent="0.25">
      <c r="B53" s="65" t="s">
        <v>143</v>
      </c>
      <c r="C53" s="45"/>
      <c r="D53" s="45"/>
      <c r="E53" s="45"/>
      <c r="F53" s="111" t="str">
        <f>'Client Data'!B31</f>
        <v>DEPOSIT_AMOUNT</v>
      </c>
      <c r="G53" s="45"/>
      <c r="H53" s="45"/>
      <c r="I53" s="45"/>
      <c r="U53" s="32"/>
    </row>
    <row r="54" spans="2:21" ht="20" customHeight="1" x14ac:dyDescent="0.25">
      <c r="B54" s="65" t="s">
        <v>144</v>
      </c>
      <c r="C54" s="45"/>
      <c r="D54" s="45"/>
      <c r="E54" s="45"/>
      <c r="F54" s="110" t="str">
        <f>'Client Data'!B32</f>
        <v>BALANCE_AMOUNT</v>
      </c>
      <c r="G54" s="45"/>
      <c r="H54" s="45"/>
      <c r="I54" s="45"/>
      <c r="U54" s="40"/>
    </row>
    <row r="55" spans="2:21" ht="20" customHeight="1" x14ac:dyDescent="0.3">
      <c r="B55" s="65" t="s">
        <v>59</v>
      </c>
      <c r="C55" s="45"/>
      <c r="D55" s="45"/>
      <c r="E55" s="45"/>
      <c r="F55" s="45"/>
      <c r="G55" s="60" t="s">
        <v>41</v>
      </c>
      <c r="H55" s="45"/>
      <c r="I55" s="45"/>
      <c r="U55" s="40"/>
    </row>
    <row r="56" spans="2:21" ht="20" customHeight="1" x14ac:dyDescent="0.3">
      <c r="B56" s="65" t="s">
        <v>60</v>
      </c>
      <c r="C56" s="45"/>
      <c r="D56" s="45"/>
      <c r="E56" s="45"/>
      <c r="F56" s="45"/>
      <c r="G56" s="60" t="s">
        <v>41</v>
      </c>
      <c r="H56" s="45"/>
      <c r="I56" s="45"/>
      <c r="U56" s="40"/>
    </row>
    <row r="57" spans="2:21" ht="20" customHeight="1" x14ac:dyDescent="0.2">
      <c r="B57" s="65" t="s">
        <v>58</v>
      </c>
      <c r="C57" s="45"/>
      <c r="D57" s="45"/>
      <c r="E57" s="45"/>
      <c r="F57" s="45"/>
      <c r="G57" s="45"/>
      <c r="H57" s="45"/>
      <c r="I57" s="45"/>
      <c r="U57" s="40"/>
    </row>
    <row r="58" spans="2:21" ht="20" customHeight="1" x14ac:dyDescent="0.2">
      <c r="B58" s="46"/>
      <c r="C58" s="45"/>
      <c r="D58" s="45"/>
      <c r="E58" s="45"/>
      <c r="F58" s="45"/>
      <c r="G58" s="45"/>
      <c r="H58" s="45"/>
      <c r="I58" s="45"/>
      <c r="U58" s="40"/>
    </row>
    <row r="59" spans="2:21" ht="20" customHeight="1" x14ac:dyDescent="0.2">
      <c r="B59" s="87" t="s">
        <v>55</v>
      </c>
      <c r="C59" s="91"/>
      <c r="D59" s="91"/>
      <c r="E59" s="92"/>
      <c r="F59" s="92"/>
      <c r="G59" s="92"/>
      <c r="H59" s="92"/>
      <c r="I59" s="92"/>
      <c r="U59" s="40"/>
    </row>
    <row r="60" spans="2:21" ht="20" customHeight="1" x14ac:dyDescent="0.2">
      <c r="B60" s="47"/>
      <c r="C60" s="47"/>
      <c r="D60" s="47"/>
      <c r="E60" s="47"/>
      <c r="F60" s="47"/>
      <c r="G60" s="47"/>
      <c r="H60" s="47"/>
      <c r="I60" s="47"/>
      <c r="U60" s="41"/>
    </row>
    <row r="61" spans="2:21" ht="20" customHeight="1" x14ac:dyDescent="0.2">
      <c r="B61" s="47"/>
      <c r="C61" s="47"/>
      <c r="D61" s="47"/>
      <c r="E61" s="47"/>
      <c r="F61" s="47"/>
      <c r="G61" s="47"/>
      <c r="H61" s="47"/>
      <c r="I61" s="47"/>
    </row>
    <row r="62" spans="2:21" ht="20" customHeight="1" x14ac:dyDescent="0.2">
      <c r="B62" s="47"/>
      <c r="C62" s="47"/>
      <c r="D62" s="47"/>
      <c r="E62" s="47"/>
      <c r="F62" s="47"/>
      <c r="G62" s="47"/>
      <c r="H62" s="47"/>
      <c r="I62" s="47"/>
    </row>
    <row r="63" spans="2:21" ht="20" customHeight="1" x14ac:dyDescent="0.2"/>
    <row r="64" spans="2:21" ht="20" customHeight="1" x14ac:dyDescent="0.2">
      <c r="B64" s="87" t="s">
        <v>56</v>
      </c>
      <c r="C64" s="92"/>
      <c r="D64" s="92"/>
      <c r="E64" s="92"/>
      <c r="F64" s="92"/>
      <c r="G64" s="92"/>
      <c r="H64" s="92"/>
      <c r="I64" s="92"/>
    </row>
    <row r="65" spans="2:6" ht="20" customHeight="1" x14ac:dyDescent="0.2">
      <c r="B65" s="68" t="s">
        <v>57</v>
      </c>
      <c r="C65" s="71"/>
      <c r="D65" s="71"/>
      <c r="E65" s="71"/>
    </row>
    <row r="66" spans="2:6" ht="20" customHeight="1" x14ac:dyDescent="0.2">
      <c r="B66" s="71"/>
      <c r="C66" s="71"/>
      <c r="D66" s="71"/>
      <c r="E66" s="71"/>
    </row>
    <row r="67" spans="2:6" ht="20" customHeight="1" x14ac:dyDescent="0.2">
      <c r="B67" s="64" t="s">
        <v>61</v>
      </c>
      <c r="D67" s="107"/>
      <c r="E67" s="107"/>
      <c r="F67" s="107"/>
    </row>
    <row r="68" spans="2:6" ht="20" customHeight="1" x14ac:dyDescent="0.2">
      <c r="B68" s="64" t="s">
        <v>145</v>
      </c>
      <c r="D68" s="108"/>
      <c r="E68" s="108"/>
      <c r="F68" s="108"/>
    </row>
    <row r="69" spans="2:6" ht="20" customHeight="1" x14ac:dyDescent="0.2">
      <c r="B69" s="64" t="s">
        <v>146</v>
      </c>
      <c r="D69" s="108"/>
      <c r="E69" s="71"/>
    </row>
    <row r="70" spans="2:6" ht="20" customHeight="1" x14ac:dyDescent="0.2">
      <c r="D70" s="71"/>
      <c r="E70" s="71"/>
    </row>
    <row r="71" spans="2:6" ht="20" customHeight="1" x14ac:dyDescent="0.2">
      <c r="B71" s="64" t="s">
        <v>155</v>
      </c>
      <c r="D71" s="71"/>
      <c r="E71" s="71"/>
    </row>
    <row r="72" spans="2:6" ht="20" customHeight="1" x14ac:dyDescent="0.2">
      <c r="B72" s="64" t="s">
        <v>62</v>
      </c>
      <c r="D72" s="107"/>
      <c r="E72" s="107"/>
      <c r="F72" s="107"/>
    </row>
    <row r="73" spans="2:6" ht="20" customHeight="1" x14ac:dyDescent="0.25">
      <c r="B73" s="64" t="s">
        <v>147</v>
      </c>
      <c r="D73" s="52" t="s">
        <v>196</v>
      </c>
      <c r="E73" s="107"/>
      <c r="F73" s="107"/>
    </row>
    <row r="74" spans="2:6" ht="20" customHeight="1" x14ac:dyDescent="0.25">
      <c r="B74" s="64" t="s">
        <v>146</v>
      </c>
      <c r="D74" s="127">
        <f ca="1">TODAY()</f>
        <v>45925</v>
      </c>
      <c r="E74" s="71"/>
    </row>
    <row r="75" spans="2:6" ht="20" customHeight="1" x14ac:dyDescent="0.2"/>
    <row r="76" spans="2:6" ht="20" customHeight="1" x14ac:dyDescent="0.2"/>
    <row r="77" spans="2:6" ht="20" customHeight="1" x14ac:dyDescent="0.2"/>
    <row r="78" spans="2:6" ht="20" customHeight="1" x14ac:dyDescent="0.2"/>
    <row r="79" spans="2:6" ht="20" customHeight="1" x14ac:dyDescent="0.2"/>
    <row r="80" spans="2:6" ht="20" customHeight="1" x14ac:dyDescent="0.2"/>
    <row r="81" spans="2:9" ht="20" customHeight="1" x14ac:dyDescent="0.2">
      <c r="B81" s="72"/>
      <c r="C81" s="70"/>
      <c r="D81" s="70"/>
      <c r="E81" s="70"/>
      <c r="F81" s="70"/>
      <c r="G81" s="7"/>
      <c r="H81" s="7"/>
      <c r="I81" s="7"/>
    </row>
    <row r="82" spans="2:9" ht="20" customHeight="1" x14ac:dyDescent="0.25">
      <c r="B82" s="73"/>
    </row>
    <row r="83" spans="2:9" ht="20" customHeight="1" x14ac:dyDescent="0.25">
      <c r="B83" s="74"/>
    </row>
    <row r="84" spans="2:9" ht="20" customHeight="1" x14ac:dyDescent="0.2">
      <c r="B84" s="69"/>
    </row>
    <row r="85" spans="2:9" ht="20" customHeight="1" x14ac:dyDescent="0.2">
      <c r="B85" s="69"/>
    </row>
    <row r="86" spans="2:9" ht="20" customHeight="1" x14ac:dyDescent="0.2">
      <c r="B86" s="75"/>
    </row>
    <row r="87" spans="2:9" ht="20" customHeight="1" x14ac:dyDescent="0.25">
      <c r="B87" s="74"/>
    </row>
    <row r="88" spans="2:9" ht="20" customHeight="1" x14ac:dyDescent="0.2">
      <c r="B88" s="69"/>
    </row>
    <row r="89" spans="2:9" ht="20" customHeight="1" x14ac:dyDescent="0.2">
      <c r="B89" s="69"/>
    </row>
    <row r="90" spans="2:9" ht="20" customHeight="1" x14ac:dyDescent="0.2">
      <c r="B90" s="75"/>
    </row>
    <row r="91" spans="2:9" ht="20" customHeight="1" x14ac:dyDescent="0.2">
      <c r="B91" s="75"/>
    </row>
    <row r="92" spans="2:9" ht="20" customHeight="1" x14ac:dyDescent="0.2">
      <c r="B92" s="75"/>
    </row>
    <row r="93" spans="2:9" ht="20" customHeight="1" x14ac:dyDescent="0.2">
      <c r="B93" s="69"/>
    </row>
    <row r="94" spans="2:9" ht="20" customHeight="1" x14ac:dyDescent="0.2">
      <c r="B94" s="75"/>
    </row>
    <row r="95" spans="2:9" ht="20" customHeight="1" x14ac:dyDescent="0.2">
      <c r="B95" s="75"/>
    </row>
    <row r="96" spans="2:9" ht="20" customHeight="1" x14ac:dyDescent="0.25">
      <c r="B96" s="74"/>
    </row>
    <row r="97" spans="2:9" ht="20" customHeight="1" x14ac:dyDescent="0.2">
      <c r="B97" s="76"/>
      <c r="C97" s="1"/>
      <c r="D97" s="1"/>
      <c r="E97" s="1"/>
      <c r="F97" s="1"/>
      <c r="G97" s="1"/>
      <c r="H97" s="1"/>
      <c r="I97" s="1"/>
    </row>
    <row r="98" spans="2:9" ht="20" customHeight="1" x14ac:dyDescent="0.2">
      <c r="B98" s="69"/>
    </row>
    <row r="99" spans="2:9" ht="20" customHeight="1" x14ac:dyDescent="0.25">
      <c r="B99" s="74"/>
    </row>
    <row r="100" spans="2:9" ht="20" customHeight="1" x14ac:dyDescent="0.2">
      <c r="B100" s="75"/>
    </row>
    <row r="101" spans="2:9" ht="20" customHeight="1" x14ac:dyDescent="0.2">
      <c r="B101" s="69"/>
    </row>
    <row r="102" spans="2:9" x14ac:dyDescent="0.2">
      <c r="B102" s="75"/>
    </row>
    <row r="103" spans="2:9" ht="17" x14ac:dyDescent="0.25">
      <c r="B103" s="74"/>
    </row>
    <row r="104" spans="2:9" x14ac:dyDescent="0.2">
      <c r="B104" s="75"/>
    </row>
    <row r="105" spans="2:9" ht="17" x14ac:dyDescent="0.25">
      <c r="B105" s="74"/>
    </row>
    <row r="106" spans="2:9" ht="17" x14ac:dyDescent="0.25">
      <c r="B106" s="74"/>
    </row>
    <row r="107" spans="2:9" ht="17" x14ac:dyDescent="0.25">
      <c r="B107" s="73"/>
    </row>
    <row r="108" spans="2:9" x14ac:dyDescent="0.2">
      <c r="B108" s="75"/>
    </row>
    <row r="109" spans="2:9" x14ac:dyDescent="0.2">
      <c r="B109" s="69"/>
    </row>
    <row r="110" spans="2:9" ht="17" x14ac:dyDescent="0.25">
      <c r="B110" s="74"/>
    </row>
    <row r="111" spans="2:9" ht="17" x14ac:dyDescent="0.25">
      <c r="B111" s="74"/>
    </row>
    <row r="112" spans="2:9" x14ac:dyDescent="0.2">
      <c r="B112" s="75"/>
    </row>
    <row r="113" spans="2:2" x14ac:dyDescent="0.2">
      <c r="B113" s="69"/>
    </row>
    <row r="114" spans="2:2" x14ac:dyDescent="0.2">
      <c r="B114" s="75"/>
    </row>
    <row r="115" spans="2:2" x14ac:dyDescent="0.2">
      <c r="B115" s="69"/>
    </row>
    <row r="116" spans="2:2" ht="17" x14ac:dyDescent="0.25">
      <c r="B116" s="74"/>
    </row>
    <row r="117" spans="2:2" x14ac:dyDescent="0.2">
      <c r="B117" s="75"/>
    </row>
    <row r="118" spans="2:2" x14ac:dyDescent="0.2">
      <c r="B118" s="69"/>
    </row>
    <row r="119" spans="2:2" x14ac:dyDescent="0.2">
      <c r="B119" s="75"/>
    </row>
    <row r="120" spans="2:2" x14ac:dyDescent="0.2">
      <c r="B120" s="69"/>
    </row>
    <row r="121" spans="2:2" ht="17" x14ac:dyDescent="0.25">
      <c r="B121" s="74"/>
    </row>
    <row r="122" spans="2:2" x14ac:dyDescent="0.2">
      <c r="B122" s="69"/>
    </row>
    <row r="123" spans="2:2" x14ac:dyDescent="0.2">
      <c r="B123" s="69"/>
    </row>
    <row r="124" spans="2:2" ht="17" x14ac:dyDescent="0.25">
      <c r="B124" s="73"/>
    </row>
    <row r="125" spans="2:2" ht="17" x14ac:dyDescent="0.25">
      <c r="B125" s="73"/>
    </row>
    <row r="126" spans="2:2" ht="17" x14ac:dyDescent="0.25">
      <c r="B126" s="73"/>
    </row>
    <row r="127" spans="2:2" ht="17" x14ac:dyDescent="0.25">
      <c r="B127" s="73"/>
    </row>
    <row r="128" spans="2:2" x14ac:dyDescent="0.2">
      <c r="B128" s="75"/>
    </row>
    <row r="129" spans="2:2" x14ac:dyDescent="0.2">
      <c r="B129" s="69"/>
    </row>
    <row r="130" spans="2:2" ht="17" x14ac:dyDescent="0.25">
      <c r="B130" s="74"/>
    </row>
    <row r="131" spans="2:2" x14ac:dyDescent="0.2">
      <c r="B131" s="75"/>
    </row>
    <row r="132" spans="2:2" x14ac:dyDescent="0.2">
      <c r="B132" s="75"/>
    </row>
    <row r="133" spans="2:2" ht="17" x14ac:dyDescent="0.25">
      <c r="B133" s="74"/>
    </row>
    <row r="134" spans="2:2" x14ac:dyDescent="0.2">
      <c r="B134" s="75"/>
    </row>
    <row r="135" spans="2:2" ht="17" x14ac:dyDescent="0.25">
      <c r="B135" s="74"/>
    </row>
    <row r="136" spans="2:2" ht="17" x14ac:dyDescent="0.25">
      <c r="B136" s="74"/>
    </row>
    <row r="137" spans="2:2" ht="17" x14ac:dyDescent="0.25">
      <c r="B137" s="74"/>
    </row>
    <row r="138" spans="2:2" x14ac:dyDescent="0.2">
      <c r="B138" s="69"/>
    </row>
    <row r="139" spans="2:2" ht="17" x14ac:dyDescent="0.25">
      <c r="B139" s="74"/>
    </row>
    <row r="140" spans="2:2" x14ac:dyDescent="0.2">
      <c r="B140" s="69"/>
    </row>
    <row r="141" spans="2:2" ht="17" x14ac:dyDescent="0.25">
      <c r="B141" s="74"/>
    </row>
    <row r="142" spans="2:2" x14ac:dyDescent="0.2">
      <c r="B142" s="69"/>
    </row>
    <row r="143" spans="2:2" x14ac:dyDescent="0.2">
      <c r="B143" s="77"/>
    </row>
    <row r="144" spans="2:2" x14ac:dyDescent="0.2">
      <c r="B144" s="69"/>
    </row>
    <row r="145" spans="2:2" ht="17" x14ac:dyDescent="0.25">
      <c r="B145" s="74"/>
    </row>
    <row r="146" spans="2:2" x14ac:dyDescent="0.2">
      <c r="B146" s="69"/>
    </row>
    <row r="147" spans="2:2" x14ac:dyDescent="0.2">
      <c r="B147" s="75"/>
    </row>
    <row r="148" spans="2:2" x14ac:dyDescent="0.2">
      <c r="B148" s="75"/>
    </row>
    <row r="149" spans="2:2" x14ac:dyDescent="0.2">
      <c r="B149" s="75"/>
    </row>
    <row r="150" spans="2:2" x14ac:dyDescent="0.2">
      <c r="B150" s="75"/>
    </row>
    <row r="151" spans="2:2" x14ac:dyDescent="0.2">
      <c r="B151" s="75"/>
    </row>
  </sheetData>
  <mergeCells count="7">
    <mergeCell ref="B30:D30"/>
    <mergeCell ref="B39:D39"/>
    <mergeCell ref="B5:F5"/>
    <mergeCell ref="B2:F3"/>
    <mergeCell ref="B13:F13"/>
    <mergeCell ref="B14:D14"/>
    <mergeCell ref="D19:E19"/>
  </mergeCells>
  <pageMargins left="0.25" right="0.25" top="0.75" bottom="0.75" header="0.3" footer="0.3"/>
  <pageSetup paperSize="9" scale="85" orientation="portrait" horizontalDpi="0" verticalDpi="0"/>
  <headerFooter>
    <oddFooter>&amp;C&amp;"Arial Unicode MS,Regular"&amp;7Company Registration No: 10571250. Registered Office: Flat 2, Alloa Court, 139 Ashfield Road, London, N14 7PE, United Kingdom.</oddFooter>
  </headerFooter>
  <rowBreaks count="1" manualBreakCount="1">
    <brk id="76" max="16383" man="1"/>
  </rowBreaks>
  <colBreaks count="1" manualBreakCount="1">
    <brk id="1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ED37-F349-D24A-9D0D-8CCF281831DE}">
  <sheetPr codeName="Sheet8">
    <pageSetUpPr fitToPage="1"/>
  </sheetPr>
  <dimension ref="B1:G121"/>
  <sheetViews>
    <sheetView zoomScale="120" zoomScaleNormal="120" zoomScalePageLayoutView="110" workbookViewId="0"/>
  </sheetViews>
  <sheetFormatPr baseColWidth="10" defaultRowHeight="16" x14ac:dyDescent="0.2"/>
  <cols>
    <col min="1" max="1" width="23.6640625" customWidth="1"/>
    <col min="2" max="2" width="5" customWidth="1"/>
    <col min="3" max="3" width="13.6640625" customWidth="1"/>
    <col min="4" max="4" width="17" customWidth="1"/>
    <col min="5" max="5" width="53" customWidth="1"/>
    <col min="6" max="6" width="4.5" customWidth="1"/>
    <col min="7" max="7" width="10.83203125" customWidth="1"/>
    <col min="8" max="8" width="2.83203125" customWidth="1"/>
  </cols>
  <sheetData>
    <row r="1" spans="2:7" ht="17" x14ac:dyDescent="0.25">
      <c r="B1" s="2"/>
      <c r="C1" s="2"/>
      <c r="D1" s="2"/>
      <c r="E1" s="2"/>
    </row>
    <row r="2" spans="2:7" ht="16" customHeight="1" x14ac:dyDescent="0.2">
      <c r="B2" s="126" t="s">
        <v>161</v>
      </c>
      <c r="C2" s="126"/>
      <c r="D2" s="126"/>
      <c r="E2" s="126"/>
      <c r="F2" s="85"/>
    </row>
    <row r="3" spans="2:7" ht="16" customHeight="1" x14ac:dyDescent="0.2">
      <c r="B3" s="126"/>
      <c r="C3" s="126"/>
      <c r="D3" s="126"/>
      <c r="E3" s="126"/>
      <c r="F3" s="85"/>
    </row>
    <row r="4" spans="2:7" x14ac:dyDescent="0.2">
      <c r="B4" s="7"/>
      <c r="C4" s="7"/>
      <c r="D4" s="7"/>
      <c r="E4" s="7"/>
    </row>
    <row r="5" spans="2:7" x14ac:dyDescent="0.2">
      <c r="B5" s="7"/>
      <c r="C5" s="7"/>
      <c r="D5" s="7"/>
      <c r="E5" s="7"/>
    </row>
    <row r="6" spans="2:7" s="82" customFormat="1" ht="10" customHeight="1" x14ac:dyDescent="0.15">
      <c r="D6" s="83"/>
      <c r="E6" s="83"/>
      <c r="F6" s="84"/>
      <c r="G6" s="84"/>
    </row>
    <row r="7" spans="2:7" s="77" customFormat="1" ht="16" customHeight="1" x14ac:dyDescent="0.2">
      <c r="B7" s="97" t="s">
        <v>63</v>
      </c>
      <c r="C7" s="98"/>
      <c r="D7" s="98"/>
      <c r="E7" s="98"/>
    </row>
    <row r="8" spans="2:7" s="77" customFormat="1" ht="16" customHeight="1" x14ac:dyDescent="0.2">
      <c r="B8" s="99" t="s">
        <v>84</v>
      </c>
      <c r="C8" s="99"/>
      <c r="D8" s="99"/>
      <c r="E8" s="99"/>
    </row>
    <row r="9" spans="2:7" s="77" customFormat="1" ht="16" customHeight="1" x14ac:dyDescent="0.2">
      <c r="B9" s="100" t="s">
        <v>85</v>
      </c>
      <c r="C9" s="99"/>
      <c r="D9" s="99"/>
      <c r="E9" s="99"/>
    </row>
    <row r="10" spans="2:7" s="77" customFormat="1" ht="16" customHeight="1" x14ac:dyDescent="0.2">
      <c r="B10" s="101" t="s">
        <v>64</v>
      </c>
      <c r="C10" s="98"/>
      <c r="D10" s="98"/>
      <c r="E10" s="98"/>
    </row>
    <row r="11" spans="2:7" s="77" customFormat="1" ht="16" customHeight="1" x14ac:dyDescent="0.2">
      <c r="B11" s="102" t="s">
        <v>86</v>
      </c>
      <c r="C11" s="99"/>
      <c r="D11" s="99"/>
      <c r="E11" s="99"/>
    </row>
    <row r="12" spans="2:7" s="77" customFormat="1" ht="16" customHeight="1" x14ac:dyDescent="0.2">
      <c r="B12" s="99" t="s">
        <v>87</v>
      </c>
      <c r="C12" s="99"/>
      <c r="D12" s="99"/>
      <c r="E12" s="99"/>
    </row>
    <row r="13" spans="2:7" s="77" customFormat="1" ht="16" customHeight="1" x14ac:dyDescent="0.2">
      <c r="B13" s="100" t="s">
        <v>88</v>
      </c>
      <c r="C13" s="99"/>
      <c r="D13" s="99"/>
      <c r="E13" s="99"/>
    </row>
    <row r="14" spans="2:7" s="77" customFormat="1" ht="16" customHeight="1" x14ac:dyDescent="0.2">
      <c r="B14" s="101" t="s">
        <v>65</v>
      </c>
      <c r="C14" s="98"/>
      <c r="D14" s="98"/>
      <c r="E14" s="98"/>
    </row>
    <row r="15" spans="2:7" s="77" customFormat="1" ht="16" customHeight="1" x14ac:dyDescent="0.2">
      <c r="B15" s="102" t="s">
        <v>89</v>
      </c>
      <c r="C15" s="99"/>
      <c r="D15" s="99"/>
      <c r="E15" s="99"/>
    </row>
    <row r="16" spans="2:7" s="77" customFormat="1" ht="16" customHeight="1" x14ac:dyDescent="0.2">
      <c r="B16" s="102" t="s">
        <v>90</v>
      </c>
      <c r="C16" s="99"/>
      <c r="D16" s="99"/>
      <c r="E16" s="99"/>
    </row>
    <row r="17" spans="2:7" s="77" customFormat="1" ht="16" customHeight="1" x14ac:dyDescent="0.2">
      <c r="B17" s="102" t="s">
        <v>91</v>
      </c>
      <c r="C17" s="99"/>
      <c r="D17" s="99"/>
      <c r="E17" s="99"/>
    </row>
    <row r="18" spans="2:7" s="77" customFormat="1" ht="16" customHeight="1" x14ac:dyDescent="0.2">
      <c r="B18" s="101" t="s">
        <v>66</v>
      </c>
      <c r="C18" s="98"/>
      <c r="D18" s="98"/>
      <c r="E18" s="98"/>
    </row>
    <row r="19" spans="2:7" s="77" customFormat="1" ht="16" customHeight="1" x14ac:dyDescent="0.2">
      <c r="B19" s="102" t="s">
        <v>92</v>
      </c>
      <c r="C19" s="99"/>
      <c r="D19" s="99"/>
      <c r="E19" s="99"/>
    </row>
    <row r="20" spans="2:7" s="77" customFormat="1" ht="16" customHeight="1" x14ac:dyDescent="0.2">
      <c r="B20" s="102" t="s">
        <v>93</v>
      </c>
      <c r="C20" s="99"/>
      <c r="D20" s="99"/>
      <c r="E20" s="99"/>
    </row>
    <row r="21" spans="2:7" s="77" customFormat="1" ht="16" customHeight="1" x14ac:dyDescent="0.2">
      <c r="B21" s="99" t="s">
        <v>94</v>
      </c>
      <c r="C21" s="99"/>
      <c r="D21" s="99"/>
      <c r="E21" s="99"/>
    </row>
    <row r="22" spans="2:7" s="77" customFormat="1" ht="16" customHeight="1" x14ac:dyDescent="0.2">
      <c r="B22" s="103" t="s">
        <v>95</v>
      </c>
      <c r="C22" s="102"/>
      <c r="D22" s="102"/>
      <c r="E22" s="99"/>
      <c r="F22" s="75"/>
      <c r="G22" s="75"/>
    </row>
    <row r="23" spans="2:7" s="77" customFormat="1" ht="16" customHeight="1" x14ac:dyDescent="0.2">
      <c r="B23" s="101" t="s">
        <v>67</v>
      </c>
      <c r="C23" s="98"/>
      <c r="D23" s="98"/>
      <c r="E23" s="98"/>
    </row>
    <row r="24" spans="2:7" s="77" customFormat="1" ht="16" customHeight="1" x14ac:dyDescent="0.2">
      <c r="B24" s="99" t="s">
        <v>78</v>
      </c>
      <c r="C24" s="99"/>
      <c r="D24" s="99"/>
      <c r="E24" s="99"/>
    </row>
    <row r="25" spans="2:7" s="77" customFormat="1" ht="16" customHeight="1" x14ac:dyDescent="0.2">
      <c r="B25" s="102" t="s">
        <v>96</v>
      </c>
      <c r="C25" s="99"/>
      <c r="D25" s="99"/>
      <c r="E25" s="99"/>
    </row>
    <row r="26" spans="2:7" s="77" customFormat="1" ht="16" customHeight="1" x14ac:dyDescent="0.2">
      <c r="B26" s="101" t="s">
        <v>68</v>
      </c>
      <c r="C26" s="98"/>
      <c r="D26" s="98"/>
      <c r="E26" s="98"/>
    </row>
    <row r="27" spans="2:7" s="77" customFormat="1" ht="16" customHeight="1" x14ac:dyDescent="0.2">
      <c r="B27" s="102" t="s">
        <v>97</v>
      </c>
      <c r="C27" s="99"/>
      <c r="D27" s="99"/>
      <c r="E27" s="99"/>
    </row>
    <row r="28" spans="2:7" s="77" customFormat="1" ht="16" customHeight="1" x14ac:dyDescent="0.2">
      <c r="B28" s="99" t="s">
        <v>98</v>
      </c>
      <c r="C28" s="99"/>
      <c r="D28" s="99"/>
      <c r="E28" s="99"/>
    </row>
    <row r="29" spans="2:7" s="77" customFormat="1" ht="16" customHeight="1" x14ac:dyDescent="0.2">
      <c r="B29" s="102" t="s">
        <v>79</v>
      </c>
      <c r="C29" s="99"/>
      <c r="D29" s="99"/>
      <c r="E29" s="99"/>
    </row>
    <row r="30" spans="2:7" s="77" customFormat="1" ht="16" customHeight="1" x14ac:dyDescent="0.2">
      <c r="B30" s="99" t="s">
        <v>99</v>
      </c>
      <c r="C30" s="99"/>
      <c r="D30" s="99"/>
      <c r="E30" s="99"/>
    </row>
    <row r="31" spans="2:7" s="77" customFormat="1" ht="16" customHeight="1" x14ac:dyDescent="0.2">
      <c r="B31" s="99" t="s">
        <v>100</v>
      </c>
      <c r="C31" s="99"/>
      <c r="D31" s="99"/>
      <c r="E31" s="99"/>
    </row>
    <row r="32" spans="2:7" s="77" customFormat="1" ht="16" customHeight="1" x14ac:dyDescent="0.2">
      <c r="B32" s="10" t="s">
        <v>101</v>
      </c>
      <c r="C32" s="99"/>
      <c r="D32" s="99"/>
      <c r="E32" s="99"/>
    </row>
    <row r="33" spans="2:5" s="77" customFormat="1" ht="16" customHeight="1" x14ac:dyDescent="0.2">
      <c r="B33" s="102" t="s">
        <v>80</v>
      </c>
      <c r="C33" s="99"/>
      <c r="D33" s="99"/>
      <c r="E33" s="99"/>
    </row>
    <row r="34" spans="2:5" s="77" customFormat="1" ht="16" customHeight="1" x14ac:dyDescent="0.2">
      <c r="B34" s="101" t="s">
        <v>69</v>
      </c>
      <c r="C34" s="98"/>
      <c r="D34" s="98"/>
      <c r="E34" s="98"/>
    </row>
    <row r="35" spans="2:5" s="77" customFormat="1" ht="16" customHeight="1" x14ac:dyDescent="0.2">
      <c r="B35" s="99" t="s">
        <v>102</v>
      </c>
      <c r="C35" s="99"/>
      <c r="D35" s="99"/>
      <c r="E35" s="99"/>
    </row>
    <row r="36" spans="2:5" s="77" customFormat="1" ht="16" customHeight="1" x14ac:dyDescent="0.2">
      <c r="B36" s="99" t="s">
        <v>103</v>
      </c>
      <c r="C36" s="99"/>
      <c r="D36" s="99"/>
      <c r="E36" s="99"/>
    </row>
    <row r="37" spans="2:5" s="77" customFormat="1" ht="16" customHeight="1" x14ac:dyDescent="0.2">
      <c r="B37" s="102" t="s">
        <v>76</v>
      </c>
      <c r="C37" s="99"/>
      <c r="D37" s="99"/>
      <c r="E37" s="99"/>
    </row>
    <row r="38" spans="2:5" s="77" customFormat="1" ht="16" customHeight="1" x14ac:dyDescent="0.2">
      <c r="B38" s="101" t="s">
        <v>70</v>
      </c>
      <c r="C38" s="98"/>
      <c r="D38" s="98"/>
      <c r="E38" s="98"/>
    </row>
    <row r="39" spans="2:5" s="77" customFormat="1" ht="16" customHeight="1" x14ac:dyDescent="0.2">
      <c r="B39" s="102" t="s">
        <v>104</v>
      </c>
      <c r="C39" s="99"/>
      <c r="D39" s="99"/>
      <c r="E39" s="99"/>
    </row>
    <row r="40" spans="2:5" s="77" customFormat="1" ht="16" customHeight="1" x14ac:dyDescent="0.2">
      <c r="B40" s="101" t="s">
        <v>71</v>
      </c>
      <c r="C40" s="98"/>
      <c r="D40" s="98"/>
      <c r="E40" s="98"/>
    </row>
    <row r="41" spans="2:5" s="77" customFormat="1" ht="16" customHeight="1" x14ac:dyDescent="0.2">
      <c r="B41" s="99" t="s">
        <v>105</v>
      </c>
      <c r="C41" s="99"/>
      <c r="D41" s="99"/>
      <c r="E41" s="99"/>
    </row>
    <row r="42" spans="2:5" s="77" customFormat="1" ht="16" customHeight="1" x14ac:dyDescent="0.2">
      <c r="B42" s="102" t="s">
        <v>77</v>
      </c>
      <c r="C42" s="99"/>
      <c r="D42" s="99"/>
      <c r="E42" s="99"/>
    </row>
    <row r="43" spans="2:5" s="77" customFormat="1" ht="16" customHeight="1" x14ac:dyDescent="0.2">
      <c r="B43" s="101" t="s">
        <v>72</v>
      </c>
      <c r="C43" s="98"/>
      <c r="D43" s="98"/>
      <c r="E43" s="98"/>
    </row>
    <row r="44" spans="2:5" s="77" customFormat="1" ht="16" customHeight="1" x14ac:dyDescent="0.2">
      <c r="B44" s="102" t="s">
        <v>106</v>
      </c>
      <c r="C44" s="99"/>
      <c r="D44" s="99"/>
      <c r="E44" s="99"/>
    </row>
    <row r="45" spans="2:5" s="77" customFormat="1" ht="16" customHeight="1" x14ac:dyDescent="0.2">
      <c r="B45" s="101" t="s">
        <v>73</v>
      </c>
      <c r="C45" s="98"/>
      <c r="D45" s="98"/>
      <c r="E45" s="98"/>
    </row>
    <row r="46" spans="2:5" s="77" customFormat="1" ht="16" customHeight="1" x14ac:dyDescent="0.2">
      <c r="B46" s="99" t="s">
        <v>107</v>
      </c>
      <c r="C46" s="99"/>
      <c r="D46" s="99"/>
      <c r="E46" s="99"/>
    </row>
    <row r="47" spans="2:5" s="77" customFormat="1" ht="16" customHeight="1" x14ac:dyDescent="0.2">
      <c r="B47" s="100" t="s">
        <v>108</v>
      </c>
      <c r="C47" s="99"/>
      <c r="D47" s="99"/>
      <c r="E47" s="99"/>
    </row>
    <row r="48" spans="2:5" s="77" customFormat="1" ht="16" customHeight="1" x14ac:dyDescent="0.2">
      <c r="B48" s="101" t="s">
        <v>74</v>
      </c>
      <c r="C48" s="98"/>
      <c r="D48" s="98"/>
      <c r="E48" s="98"/>
    </row>
    <row r="49" spans="2:5" s="77" customFormat="1" ht="16" customHeight="1" x14ac:dyDescent="0.2">
      <c r="B49" s="10" t="s">
        <v>109</v>
      </c>
      <c r="C49" s="99"/>
      <c r="D49" s="99"/>
      <c r="E49" s="99"/>
    </row>
    <row r="50" spans="2:5" s="77" customFormat="1" ht="16" customHeight="1" x14ac:dyDescent="0.2">
      <c r="B50" s="10" t="s">
        <v>110</v>
      </c>
      <c r="C50" s="99"/>
      <c r="D50" s="99"/>
      <c r="E50" s="99"/>
    </row>
    <row r="51" spans="2:5" s="77" customFormat="1" ht="16" customHeight="1" x14ac:dyDescent="0.2">
      <c r="B51" s="10" t="s">
        <v>111</v>
      </c>
      <c r="C51" s="99"/>
      <c r="D51" s="99"/>
      <c r="E51" s="99"/>
    </row>
    <row r="52" spans="2:5" s="77" customFormat="1" ht="16" customHeight="1" x14ac:dyDescent="0.2">
      <c r="B52" s="10" t="s">
        <v>112</v>
      </c>
      <c r="C52" s="99"/>
      <c r="D52" s="99"/>
      <c r="E52" s="99"/>
    </row>
    <row r="53" spans="2:5" s="77" customFormat="1" ht="16" customHeight="1" x14ac:dyDescent="0.2">
      <c r="B53" s="102" t="s">
        <v>113</v>
      </c>
      <c r="C53" s="99"/>
      <c r="D53" s="99"/>
      <c r="E53" s="99"/>
    </row>
    <row r="54" spans="2:5" s="77" customFormat="1" ht="16" customHeight="1" x14ac:dyDescent="0.2">
      <c r="B54" s="101" t="s">
        <v>75</v>
      </c>
      <c r="C54" s="98"/>
      <c r="D54" s="98"/>
      <c r="E54" s="98"/>
    </row>
    <row r="55" spans="2:5" s="77" customFormat="1" ht="16" customHeight="1" x14ac:dyDescent="0.2">
      <c r="B55" s="99" t="s">
        <v>114</v>
      </c>
      <c r="C55" s="99"/>
      <c r="D55" s="99"/>
      <c r="E55" s="99"/>
    </row>
    <row r="56" spans="2:5" s="77" customFormat="1" ht="16" customHeight="1" x14ac:dyDescent="0.2">
      <c r="B56" s="102" t="s">
        <v>81</v>
      </c>
      <c r="C56" s="99"/>
      <c r="D56" s="99"/>
      <c r="E56" s="99"/>
    </row>
    <row r="57" spans="2:5" s="77" customFormat="1" ht="16" customHeight="1" x14ac:dyDescent="0.2">
      <c r="B57" s="102" t="s">
        <v>115</v>
      </c>
      <c r="C57" s="99"/>
      <c r="D57" s="99"/>
      <c r="E57" s="99"/>
    </row>
    <row r="58" spans="2:5" s="77" customFormat="1" ht="16" customHeight="1" x14ac:dyDescent="0.2">
      <c r="B58" s="99" t="s">
        <v>116</v>
      </c>
      <c r="C58" s="99"/>
      <c r="D58" s="99"/>
      <c r="E58" s="99"/>
    </row>
    <row r="59" spans="2:5" s="77" customFormat="1" ht="16" customHeight="1" x14ac:dyDescent="0.2">
      <c r="B59" s="102" t="s">
        <v>117</v>
      </c>
      <c r="C59" s="99"/>
      <c r="D59" s="99"/>
      <c r="E59" s="99"/>
    </row>
    <row r="60" spans="2:5" s="77" customFormat="1" ht="16" customHeight="1" x14ac:dyDescent="0.2">
      <c r="B60" s="99" t="s">
        <v>118</v>
      </c>
      <c r="C60" s="99"/>
      <c r="D60" s="99"/>
      <c r="E60" s="99"/>
    </row>
    <row r="61" spans="2:5" s="77" customFormat="1" ht="16" customHeight="1" x14ac:dyDescent="0.2">
      <c r="B61" s="99" t="s">
        <v>82</v>
      </c>
      <c r="C61" s="99"/>
      <c r="D61" s="99"/>
      <c r="E61" s="99"/>
    </row>
    <row r="62" spans="2:5" s="77" customFormat="1" ht="16" customHeight="1" x14ac:dyDescent="0.2">
      <c r="B62" s="99" t="s">
        <v>119</v>
      </c>
      <c r="C62" s="99"/>
      <c r="D62" s="99"/>
      <c r="E62" s="99"/>
    </row>
    <row r="63" spans="2:5" s="77" customFormat="1" ht="16" customHeight="1" x14ac:dyDescent="0.2">
      <c r="B63" s="100" t="s">
        <v>120</v>
      </c>
      <c r="C63" s="99"/>
      <c r="D63" s="99"/>
      <c r="E63" s="99"/>
    </row>
    <row r="64" spans="2:5" s="77" customFormat="1" ht="16" customHeight="1" x14ac:dyDescent="0.2">
      <c r="B64" s="99" t="s">
        <v>121</v>
      </c>
      <c r="C64" s="99"/>
      <c r="D64" s="99"/>
      <c r="E64" s="99"/>
    </row>
    <row r="65" spans="2:5" s="77" customFormat="1" ht="16" customHeight="1" x14ac:dyDescent="0.2">
      <c r="B65" s="100" t="s">
        <v>122</v>
      </c>
      <c r="C65" s="99"/>
      <c r="D65" s="99"/>
      <c r="E65" s="99"/>
    </row>
    <row r="66" spans="2:5" s="77" customFormat="1" ht="16" customHeight="1" x14ac:dyDescent="0.2">
      <c r="B66" s="99" t="s">
        <v>123</v>
      </c>
      <c r="C66" s="99"/>
      <c r="D66" s="99"/>
      <c r="E66" s="99"/>
    </row>
    <row r="67" spans="2:5" s="77" customFormat="1" ht="16" customHeight="1" x14ac:dyDescent="0.2">
      <c r="B67" s="100" t="s">
        <v>124</v>
      </c>
      <c r="C67" s="99"/>
      <c r="D67" s="99"/>
      <c r="E67" s="99"/>
    </row>
    <row r="68" spans="2:5" s="77" customFormat="1" ht="16" customHeight="1" x14ac:dyDescent="0.2">
      <c r="B68" s="99"/>
      <c r="C68" s="99"/>
      <c r="D68" s="99"/>
      <c r="E68" s="99"/>
    </row>
    <row r="69" spans="2:5" s="77" customFormat="1" ht="16" customHeight="1" x14ac:dyDescent="0.2">
      <c r="B69" s="101" t="s">
        <v>83</v>
      </c>
      <c r="C69" s="98"/>
      <c r="D69" s="98"/>
      <c r="E69" s="104"/>
    </row>
    <row r="70" spans="2:5" s="77" customFormat="1" ht="16" customHeight="1" x14ac:dyDescent="0.2">
      <c r="B70" s="98" t="s">
        <v>125</v>
      </c>
      <c r="C70" s="98"/>
      <c r="D70" s="98"/>
      <c r="E70" s="104"/>
    </row>
    <row r="71" spans="2:5" s="77" customFormat="1" ht="16" customHeight="1" x14ac:dyDescent="0.2">
      <c r="B71" s="101" t="s">
        <v>126</v>
      </c>
      <c r="C71" s="98"/>
      <c r="D71" s="98"/>
      <c r="E71" s="104"/>
    </row>
    <row r="72" spans="2:5" s="77" customFormat="1" ht="16" customHeight="1" x14ac:dyDescent="0.2">
      <c r="B72" s="80"/>
      <c r="C72" s="80"/>
      <c r="D72" s="80"/>
    </row>
    <row r="73" spans="2:5" x14ac:dyDescent="0.2">
      <c r="B73" s="78"/>
    </row>
    <row r="74" spans="2:5" x14ac:dyDescent="0.2">
      <c r="B74" s="78"/>
    </row>
    <row r="75" spans="2:5" x14ac:dyDescent="0.2">
      <c r="B75" s="78"/>
    </row>
    <row r="76" spans="2:5" x14ac:dyDescent="0.2">
      <c r="B76" s="78"/>
    </row>
    <row r="77" spans="2:5" x14ac:dyDescent="0.2">
      <c r="B77" s="79"/>
    </row>
    <row r="78" spans="2:5" x14ac:dyDescent="0.2">
      <c r="B78" s="79"/>
    </row>
    <row r="79" spans="2:5" x14ac:dyDescent="0.2">
      <c r="B79" s="79"/>
    </row>
    <row r="80" spans="2:5" x14ac:dyDescent="0.2">
      <c r="B80" s="79"/>
    </row>
    <row r="81" spans="2:2" x14ac:dyDescent="0.2">
      <c r="B81" s="79"/>
    </row>
    <row r="82" spans="2:2" x14ac:dyDescent="0.2">
      <c r="B82" s="79"/>
    </row>
    <row r="83" spans="2:2" x14ac:dyDescent="0.2">
      <c r="B83" s="79"/>
    </row>
    <row r="84" spans="2:2" x14ac:dyDescent="0.2">
      <c r="B84" s="79"/>
    </row>
    <row r="85" spans="2:2" x14ac:dyDescent="0.2">
      <c r="B85" s="79"/>
    </row>
    <row r="86" spans="2:2" x14ac:dyDescent="0.2">
      <c r="B86" s="79"/>
    </row>
    <row r="87" spans="2:2" x14ac:dyDescent="0.2">
      <c r="B87" s="79"/>
    </row>
    <row r="88" spans="2:2" x14ac:dyDescent="0.2">
      <c r="B88" s="79"/>
    </row>
    <row r="89" spans="2:2" x14ac:dyDescent="0.2">
      <c r="B89" s="79"/>
    </row>
    <row r="90" spans="2:2" x14ac:dyDescent="0.2">
      <c r="B90" s="79"/>
    </row>
    <row r="91" spans="2:2" x14ac:dyDescent="0.2">
      <c r="B91" s="79"/>
    </row>
    <row r="92" spans="2:2" x14ac:dyDescent="0.2">
      <c r="B92" s="79"/>
    </row>
    <row r="93" spans="2:2" x14ac:dyDescent="0.2">
      <c r="B93" s="79"/>
    </row>
    <row r="94" spans="2:2" x14ac:dyDescent="0.2">
      <c r="B94" s="79"/>
    </row>
    <row r="95" spans="2:2" x14ac:dyDescent="0.2">
      <c r="B95" s="79"/>
    </row>
    <row r="96" spans="2:2" x14ac:dyDescent="0.2">
      <c r="B96" s="79"/>
    </row>
    <row r="97" spans="2:2" x14ac:dyDescent="0.2">
      <c r="B97" s="79"/>
    </row>
    <row r="98" spans="2:2" x14ac:dyDescent="0.2">
      <c r="B98" s="79"/>
    </row>
    <row r="99" spans="2:2" x14ac:dyDescent="0.2">
      <c r="B99" s="79"/>
    </row>
    <row r="100" spans="2:2" x14ac:dyDescent="0.2">
      <c r="B100" s="79"/>
    </row>
    <row r="101" spans="2:2" x14ac:dyDescent="0.2">
      <c r="B101" s="79"/>
    </row>
    <row r="102" spans="2:2" x14ac:dyDescent="0.2">
      <c r="B102" s="79"/>
    </row>
    <row r="103" spans="2:2" x14ac:dyDescent="0.2">
      <c r="B103" s="79"/>
    </row>
    <row r="104" spans="2:2" x14ac:dyDescent="0.2">
      <c r="B104" s="79"/>
    </row>
    <row r="105" spans="2:2" x14ac:dyDescent="0.2">
      <c r="B105" s="79"/>
    </row>
    <row r="106" spans="2:2" x14ac:dyDescent="0.2">
      <c r="B106" s="79"/>
    </row>
    <row r="107" spans="2:2" x14ac:dyDescent="0.2">
      <c r="B107" s="79"/>
    </row>
    <row r="108" spans="2:2" x14ac:dyDescent="0.2">
      <c r="B108" s="79"/>
    </row>
    <row r="109" spans="2:2" x14ac:dyDescent="0.2">
      <c r="B109" s="79"/>
    </row>
    <row r="110" spans="2:2" x14ac:dyDescent="0.2">
      <c r="B110" s="79"/>
    </row>
    <row r="111" spans="2:2" x14ac:dyDescent="0.2">
      <c r="B111" s="79"/>
    </row>
    <row r="112" spans="2:2" x14ac:dyDescent="0.2">
      <c r="B112" s="79"/>
    </row>
    <row r="113" spans="2:2" x14ac:dyDescent="0.2">
      <c r="B113" s="79"/>
    </row>
    <row r="114" spans="2:2" x14ac:dyDescent="0.2">
      <c r="B114" s="79"/>
    </row>
    <row r="115" spans="2:2" x14ac:dyDescent="0.2">
      <c r="B115" s="79"/>
    </row>
    <row r="116" spans="2:2" x14ac:dyDescent="0.2">
      <c r="B116" s="79"/>
    </row>
    <row r="117" spans="2:2" x14ac:dyDescent="0.2">
      <c r="B117" s="79"/>
    </row>
    <row r="118" spans="2:2" x14ac:dyDescent="0.2">
      <c r="B118" s="79"/>
    </row>
    <row r="119" spans="2:2" x14ac:dyDescent="0.2">
      <c r="B119" s="79"/>
    </row>
    <row r="120" spans="2:2" x14ac:dyDescent="0.2">
      <c r="B120" s="79"/>
    </row>
    <row r="121" spans="2:2" x14ac:dyDescent="0.2">
      <c r="B121" s="79"/>
    </row>
  </sheetData>
  <mergeCells count="1">
    <mergeCell ref="B2:E3"/>
  </mergeCells>
  <pageMargins left="0.25" right="0.25" top="0.75" bottom="0.75" header="0.3" footer="0.3"/>
  <pageSetup paperSize="9" scale="68" orientation="portrait" horizontalDpi="0" verticalDpi="0"/>
  <headerFooter>
    <oddFooter>&amp;C&amp;"Arial Unicode MS,Regular"&amp;7Company Registration No: 10571250. Registered Office: Flat 2, Alloa Court, 139 Ashfield Road, London, N14 7PE, United Kingdom.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10DA-8BB5-D140-909E-F3C2B20F85AA}">
  <sheetPr codeName="Sheet2">
    <pageSetUpPr fitToPage="1"/>
  </sheetPr>
  <dimension ref="B1:I54"/>
  <sheetViews>
    <sheetView showGridLines="0" zoomScaleNormal="100" zoomScalePageLayoutView="110" workbookViewId="0">
      <selection activeCell="F21" sqref="F21"/>
    </sheetView>
  </sheetViews>
  <sheetFormatPr baseColWidth="10" defaultRowHeight="16" x14ac:dyDescent="0.2"/>
  <cols>
    <col min="1" max="1" width="2.83203125" customWidth="1"/>
    <col min="3" max="3" width="17.1640625" bestFit="1" customWidth="1"/>
    <col min="4" max="4" width="19.6640625" customWidth="1"/>
    <col min="5" max="5" width="23.83203125" style="3" bestFit="1" customWidth="1"/>
    <col min="7" max="7" width="3.1640625" customWidth="1"/>
    <col min="8" max="8" width="4.5" customWidth="1"/>
    <col min="9" max="9" width="12.6640625" customWidth="1"/>
    <col min="10" max="10" width="2.83203125" customWidth="1"/>
  </cols>
  <sheetData>
    <row r="1" spans="2:8" ht="17" x14ac:dyDescent="0.25">
      <c r="B1" s="2"/>
    </row>
    <row r="2" spans="2:8" x14ac:dyDescent="0.2">
      <c r="B2" s="118" t="s">
        <v>0</v>
      </c>
      <c r="C2" s="118"/>
      <c r="D2" s="85"/>
      <c r="E2" s="86"/>
      <c r="F2" s="85"/>
    </row>
    <row r="3" spans="2:8" x14ac:dyDescent="0.2">
      <c r="B3" s="118"/>
      <c r="C3" s="118"/>
      <c r="D3" s="85"/>
      <c r="E3" s="86"/>
      <c r="F3" s="85"/>
    </row>
    <row r="4" spans="2:8" x14ac:dyDescent="0.2">
      <c r="B4" s="7"/>
    </row>
    <row r="5" spans="2:8" x14ac:dyDescent="0.2">
      <c r="B5" s="119" t="s">
        <v>22</v>
      </c>
      <c r="C5" s="119"/>
      <c r="D5" s="26"/>
      <c r="E5" s="30" t="s">
        <v>23</v>
      </c>
    </row>
    <row r="6" spans="2:8" x14ac:dyDescent="0.2">
      <c r="B6" s="28" t="str">
        <f>'Client Data'!B3</f>
        <v>CLIENT_NAME</v>
      </c>
      <c r="C6" s="116"/>
      <c r="D6" s="26"/>
      <c r="E6" s="27">
        <f ca="1">TODAY()</f>
        <v>45925</v>
      </c>
    </row>
    <row r="7" spans="2:8" ht="15" customHeight="1" x14ac:dyDescent="0.2">
      <c r="B7" s="115" t="str">
        <f>'Client Data'!B4</f>
        <v>CLIENT_EMAIL</v>
      </c>
      <c r="C7" s="116"/>
      <c r="D7" s="26"/>
      <c r="E7" s="28"/>
      <c r="H7" s="4" t="s">
        <v>1</v>
      </c>
    </row>
    <row r="8" spans="2:8" ht="16" customHeight="1" x14ac:dyDescent="0.2">
      <c r="B8" s="28" t="str">
        <f>'Client Data'!B5</f>
        <v>CLIENT_PHONE</v>
      </c>
      <c r="C8" s="116"/>
      <c r="D8" s="26"/>
      <c r="E8" s="30" t="s">
        <v>24</v>
      </c>
      <c r="H8" s="4" t="s">
        <v>2</v>
      </c>
    </row>
    <row r="9" spans="2:8" x14ac:dyDescent="0.2">
      <c r="B9" s="28" t="str">
        <f>IF('Client Data'!B6&lt;&gt;"",'Client Data'!B6,"")</f>
        <v>CLIENT_ADDRESS1</v>
      </c>
      <c r="C9" s="116"/>
      <c r="D9" s="26"/>
      <c r="E9" s="28" t="s">
        <v>28</v>
      </c>
      <c r="H9" s="4" t="s">
        <v>3</v>
      </c>
    </row>
    <row r="10" spans="2:8" x14ac:dyDescent="0.2">
      <c r="B10" s="28" t="str">
        <f>IF('Client Data'!B7&lt;&gt;"",'Client Data'!B7,"")</f>
        <v>CLIENT_ADDRESS2</v>
      </c>
      <c r="C10" s="116"/>
      <c r="D10" s="26"/>
      <c r="E10" s="28"/>
      <c r="H10" s="4" t="s">
        <v>4</v>
      </c>
    </row>
    <row r="11" spans="2:8" x14ac:dyDescent="0.2">
      <c r="B11" s="1" t="str">
        <f>IF('Client Data'!B8&lt;&gt;"",'Client Data'!B8,"")</f>
        <v>CLIENT_ADDRESS3</v>
      </c>
      <c r="C11" s="26"/>
      <c r="D11" s="26"/>
      <c r="E11" s="30" t="s">
        <v>25</v>
      </c>
      <c r="H11" s="5" t="s">
        <v>5</v>
      </c>
    </row>
    <row r="12" spans="2:8" x14ac:dyDescent="0.2">
      <c r="B12" s="1" t="str">
        <f>IF('Client Data'!B9&lt;&gt;"",'Client Data'!B9,"")</f>
        <v>CLIENT_TOWN</v>
      </c>
      <c r="C12" s="26"/>
      <c r="D12" s="26"/>
      <c r="E12" s="28" t="str">
        <f>B6</f>
        <v>CLIENT_NAME</v>
      </c>
    </row>
    <row r="13" spans="2:8" x14ac:dyDescent="0.2">
      <c r="B13" s="1" t="str">
        <f>IF('Client Data'!B10&lt;&gt;"",'Client Data'!B10,"")</f>
        <v>CLIENT_POSTCODE</v>
      </c>
      <c r="C13" s="26"/>
      <c r="D13" s="26"/>
      <c r="E13" s="29" t="str">
        <f>'Client Data'!$B$14</f>
        <v>EVENT_DATE</v>
      </c>
    </row>
    <row r="20" spans="2:9" ht="20" customHeight="1" x14ac:dyDescent="0.2">
      <c r="B20" s="17" t="s">
        <v>6</v>
      </c>
      <c r="C20" s="17"/>
      <c r="D20" s="17"/>
      <c r="E20" s="17" t="s">
        <v>33</v>
      </c>
      <c r="F20" s="16" t="s">
        <v>159</v>
      </c>
      <c r="G20" s="24"/>
      <c r="H20" s="24"/>
      <c r="I20" s="25" t="s">
        <v>15</v>
      </c>
    </row>
    <row r="21" spans="2:9" ht="20" customHeight="1" x14ac:dyDescent="0.2">
      <c r="B21" s="31" t="s">
        <v>14</v>
      </c>
      <c r="C21" s="31"/>
      <c r="D21" s="31"/>
      <c r="E21" s="114" t="str">
        <f>'Client Data'!B19</f>
        <v>VENUE_NAME</v>
      </c>
      <c r="F21" s="13" t="str">
        <f>'Client Data'!B27</f>
        <v>AHMEN_FEE</v>
      </c>
      <c r="G21" s="3"/>
      <c r="H21" s="3"/>
    </row>
    <row r="22" spans="2:9" ht="20" customHeight="1" x14ac:dyDescent="0.2">
      <c r="B22" s="120" t="s">
        <v>152</v>
      </c>
      <c r="C22" s="120"/>
      <c r="D22" s="120"/>
      <c r="E22" s="120"/>
      <c r="F22" s="117" t="str">
        <f>'Client Data'!B28</f>
        <v>EXTRA_FEES</v>
      </c>
      <c r="G22" s="3"/>
      <c r="H22" s="3"/>
    </row>
    <row r="23" spans="2:9" ht="20" customHeight="1" x14ac:dyDescent="0.2">
      <c r="B23" s="3" t="s">
        <v>157</v>
      </c>
      <c r="C23" s="3"/>
      <c r="D23" s="3"/>
      <c r="F23" s="117" t="str">
        <f>'Client Data'!B29</f>
        <v>PRODUCTION_FEES</v>
      </c>
      <c r="G23" s="3"/>
      <c r="H23" s="3"/>
    </row>
    <row r="24" spans="2:9" ht="20" customHeight="1" x14ac:dyDescent="0.2">
      <c r="B24" s="3"/>
      <c r="C24" s="3"/>
      <c r="D24" s="3"/>
      <c r="F24" s="3"/>
      <c r="G24" s="3"/>
      <c r="H24" s="3"/>
      <c r="I24" s="9"/>
    </row>
    <row r="25" spans="2:9" ht="20" customHeight="1" x14ac:dyDescent="0.2"/>
    <row r="26" spans="2:9" ht="20" customHeight="1" x14ac:dyDescent="0.2">
      <c r="B26" s="120" t="s">
        <v>160</v>
      </c>
      <c r="C26" s="120"/>
      <c r="D26" s="120"/>
      <c r="E26" s="120"/>
      <c r="F26" s="3"/>
      <c r="G26" s="3"/>
      <c r="H26" s="3"/>
      <c r="I26" s="8" t="str">
        <f>'Client Data'!B31</f>
        <v>DEPOSIT_AMOUNT</v>
      </c>
    </row>
    <row r="27" spans="2:9" ht="20" customHeight="1" x14ac:dyDescent="0.2">
      <c r="B27" s="3"/>
      <c r="C27" s="3"/>
      <c r="D27" s="3"/>
      <c r="F27" s="3"/>
      <c r="G27" s="3"/>
      <c r="H27" s="3"/>
      <c r="I27" s="8"/>
    </row>
    <row r="28" spans="2:9" ht="20" customHeight="1" x14ac:dyDescent="0.2">
      <c r="B28" s="93"/>
      <c r="C28" s="93"/>
      <c r="D28" s="93"/>
      <c r="E28" s="93"/>
      <c r="F28" s="93"/>
      <c r="G28" s="93"/>
      <c r="H28" s="93"/>
      <c r="I28" s="96"/>
    </row>
    <row r="29" spans="2:9" ht="20" customHeight="1" x14ac:dyDescent="0.2">
      <c r="B29" s="3"/>
      <c r="C29" s="3"/>
      <c r="D29" s="3"/>
      <c r="F29" s="19" t="s">
        <v>7</v>
      </c>
      <c r="G29" s="1"/>
      <c r="H29" s="1"/>
      <c r="I29" s="20">
        <f>SUM(I21:I28)</f>
        <v>0</v>
      </c>
    </row>
    <row r="30" spans="2:9" ht="20" customHeight="1" x14ac:dyDescent="0.2">
      <c r="B30" s="3"/>
      <c r="C30" s="3"/>
      <c r="D30" s="3"/>
      <c r="F30" s="21" t="s">
        <v>13</v>
      </c>
      <c r="G30" s="22"/>
      <c r="H30" s="22"/>
      <c r="I30" s="23">
        <v>0</v>
      </c>
    </row>
    <row r="31" spans="2:9" ht="20" customHeight="1" x14ac:dyDescent="0.2">
      <c r="B31" s="3"/>
      <c r="C31" s="3"/>
      <c r="D31" s="3"/>
      <c r="F31" s="16" t="s">
        <v>27</v>
      </c>
      <c r="G31" s="17"/>
      <c r="H31" s="17"/>
      <c r="I31" s="18">
        <f>SUM(I29:I30)</f>
        <v>0</v>
      </c>
    </row>
    <row r="32" spans="2:9" x14ac:dyDescent="0.2">
      <c r="I32" s="6"/>
    </row>
    <row r="33" spans="2:9" ht="17" x14ac:dyDescent="0.2">
      <c r="B33" s="14" t="s">
        <v>8</v>
      </c>
      <c r="C33" s="15">
        <f ca="1">TODAY()</f>
        <v>45925</v>
      </c>
      <c r="I33" s="6"/>
    </row>
    <row r="34" spans="2:9" x14ac:dyDescent="0.2">
      <c r="B34" s="1"/>
      <c r="I34" s="6"/>
    </row>
    <row r="35" spans="2:9" x14ac:dyDescent="0.2">
      <c r="B35" s="1" t="s">
        <v>26</v>
      </c>
      <c r="I35" s="6"/>
    </row>
    <row r="36" spans="2:9" x14ac:dyDescent="0.2">
      <c r="B36" s="1" t="s">
        <v>9</v>
      </c>
      <c r="I36" s="6"/>
    </row>
    <row r="37" spans="2:9" x14ac:dyDescent="0.2">
      <c r="B37" s="1" t="s">
        <v>10</v>
      </c>
      <c r="I37" s="6"/>
    </row>
    <row r="38" spans="2:9" x14ac:dyDescent="0.2">
      <c r="B38" s="1" t="s">
        <v>11</v>
      </c>
      <c r="I38" s="6"/>
    </row>
    <row r="39" spans="2:9" x14ac:dyDescent="0.2">
      <c r="B39" s="1" t="s">
        <v>12</v>
      </c>
      <c r="I39" s="6"/>
    </row>
    <row r="40" spans="2:9" ht="13" customHeight="1" x14ac:dyDescent="0.2">
      <c r="I40" s="6"/>
    </row>
    <row r="41" spans="2:9" ht="13" customHeight="1" x14ac:dyDescent="0.2">
      <c r="I41" s="6"/>
    </row>
    <row r="42" spans="2:9" ht="13" customHeight="1" x14ac:dyDescent="0.2">
      <c r="I42" s="6"/>
    </row>
    <row r="43" spans="2:9" ht="13" customHeight="1" x14ac:dyDescent="0.2">
      <c r="I43" s="6"/>
    </row>
    <row r="44" spans="2:9" ht="13" customHeight="1" x14ac:dyDescent="0.2">
      <c r="I44" s="6"/>
    </row>
    <row r="45" spans="2:9" ht="13" customHeight="1" x14ac:dyDescent="0.2">
      <c r="I45" s="6"/>
    </row>
    <row r="46" spans="2:9" ht="13" customHeight="1" x14ac:dyDescent="0.2">
      <c r="I46" s="6"/>
    </row>
    <row r="47" spans="2:9" ht="13" customHeight="1" x14ac:dyDescent="0.2">
      <c r="I47" s="6"/>
    </row>
    <row r="48" spans="2:9" ht="13" customHeight="1" x14ac:dyDescent="0.2">
      <c r="I48" s="6"/>
    </row>
    <row r="49" spans="2:9" ht="13" customHeight="1" x14ac:dyDescent="0.2">
      <c r="I49" s="6"/>
    </row>
    <row r="50" spans="2:9" ht="13" customHeight="1" x14ac:dyDescent="0.2">
      <c r="I50" s="6"/>
    </row>
    <row r="51" spans="2:9" ht="13" customHeight="1" x14ac:dyDescent="0.2">
      <c r="I51" s="6"/>
    </row>
    <row r="52" spans="2:9" ht="13" customHeight="1" x14ac:dyDescent="0.2"/>
    <row r="53" spans="2:9" ht="13" customHeight="1" x14ac:dyDescent="0.2"/>
    <row r="54" spans="2:9" x14ac:dyDescent="0.2">
      <c r="B54" s="81"/>
    </row>
  </sheetData>
  <mergeCells count="4">
    <mergeCell ref="B2:C3"/>
    <mergeCell ref="B5:C5"/>
    <mergeCell ref="B26:E26"/>
    <mergeCell ref="B22:E22"/>
  </mergeCells>
  <pageMargins left="0.25" right="0.25" top="0.75" bottom="0.75" header="0.3" footer="0.3"/>
  <pageSetup paperSize="9" scale="85" orientation="portrait" horizontalDpi="0" verticalDpi="0"/>
  <headerFooter>
    <oddFooter>&amp;C&amp;"Arial Unicode MS,Regular"&amp;7Company Registration No: 10571250. Registered Office: Flat 2, Alloa Court, 139 Ashfield Road, London, N14 7PE, United Kingdom.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CDEF-F920-A340-A6DC-88D2D6D5A5B4}">
  <sheetPr codeName="Sheet3">
    <pageSetUpPr fitToPage="1"/>
  </sheetPr>
  <dimension ref="B1:I54"/>
  <sheetViews>
    <sheetView showGridLines="0" zoomScaleNormal="100" zoomScalePageLayoutView="110" workbookViewId="0">
      <selection activeCell="E52" sqref="E52"/>
    </sheetView>
  </sheetViews>
  <sheetFormatPr baseColWidth="10" defaultRowHeight="16" x14ac:dyDescent="0.2"/>
  <cols>
    <col min="1" max="1" width="2.83203125" customWidth="1"/>
    <col min="3" max="3" width="17.1640625" customWidth="1"/>
    <col min="4" max="4" width="19.6640625" customWidth="1"/>
    <col min="5" max="5" width="23.83203125" style="3" bestFit="1" customWidth="1"/>
    <col min="7" max="7" width="3.1640625" customWidth="1"/>
    <col min="8" max="8" width="4.5" customWidth="1"/>
    <col min="9" max="9" width="12.6640625" customWidth="1"/>
    <col min="10" max="10" width="2.83203125" customWidth="1"/>
  </cols>
  <sheetData>
    <row r="1" spans="2:8" ht="17" x14ac:dyDescent="0.25">
      <c r="B1" s="2"/>
    </row>
    <row r="2" spans="2:8" ht="16" customHeight="1" x14ac:dyDescent="0.2">
      <c r="B2" s="118" t="s">
        <v>0</v>
      </c>
      <c r="C2" s="118"/>
      <c r="D2" s="85"/>
      <c r="E2" s="86"/>
      <c r="F2" s="85"/>
    </row>
    <row r="3" spans="2:8" ht="16" customHeight="1" x14ac:dyDescent="0.2">
      <c r="B3" s="118"/>
      <c r="C3" s="118"/>
      <c r="D3" s="85"/>
      <c r="E3" s="86"/>
      <c r="F3" s="85"/>
    </row>
    <row r="4" spans="2:8" x14ac:dyDescent="0.2">
      <c r="B4" s="7"/>
    </row>
    <row r="5" spans="2:8" x14ac:dyDescent="0.2">
      <c r="B5" s="119" t="s">
        <v>22</v>
      </c>
      <c r="C5" s="119"/>
      <c r="E5" s="30" t="s">
        <v>23</v>
      </c>
    </row>
    <row r="6" spans="2:8" x14ac:dyDescent="0.2">
      <c r="B6" s="28" t="str">
        <f>'Client Data'!B3</f>
        <v>CLIENT_NAME</v>
      </c>
      <c r="C6" s="116"/>
      <c r="E6" s="27" t="e">
        <f>E13-20</f>
        <v>#VALUE!</v>
      </c>
    </row>
    <row r="7" spans="2:8" ht="15" customHeight="1" x14ac:dyDescent="0.2">
      <c r="B7" s="115" t="str">
        <f>'Client Data'!B4</f>
        <v>CLIENT_EMAIL</v>
      </c>
      <c r="C7" s="116"/>
      <c r="E7" s="28"/>
      <c r="H7" s="4" t="s">
        <v>1</v>
      </c>
    </row>
    <row r="8" spans="2:8" ht="16" customHeight="1" x14ac:dyDescent="0.2">
      <c r="B8" s="28" t="str">
        <f>'Client Data'!B5</f>
        <v>CLIENT_PHONE</v>
      </c>
      <c r="C8" s="116"/>
      <c r="E8" s="30" t="s">
        <v>24</v>
      </c>
      <c r="H8" s="4" t="s">
        <v>2</v>
      </c>
    </row>
    <row r="9" spans="2:8" x14ac:dyDescent="0.2">
      <c r="B9" s="1" t="str">
        <f>IF('Client Data'!B6&lt;&gt;"",'Client Data'!B6,"")</f>
        <v>CLIENT_ADDRESS1</v>
      </c>
      <c r="C9" s="26"/>
      <c r="E9" s="28" t="s">
        <v>28</v>
      </c>
      <c r="H9" s="4" t="s">
        <v>3</v>
      </c>
    </row>
    <row r="10" spans="2:8" x14ac:dyDescent="0.2">
      <c r="B10" s="1" t="str">
        <f>IF('Client Data'!B7&lt;&gt;"",'Client Data'!B7,"")</f>
        <v>CLIENT_ADDRESS2</v>
      </c>
      <c r="C10" s="26"/>
      <c r="E10" s="28"/>
      <c r="H10" s="4" t="s">
        <v>4</v>
      </c>
    </row>
    <row r="11" spans="2:8" x14ac:dyDescent="0.2">
      <c r="B11" s="1" t="str">
        <f>IF('Client Data'!B8&lt;&gt;"",'Client Data'!B8,"")</f>
        <v>CLIENT_ADDRESS3</v>
      </c>
      <c r="C11" s="26"/>
      <c r="E11" s="30" t="s">
        <v>25</v>
      </c>
      <c r="H11" s="5" t="s">
        <v>5</v>
      </c>
    </row>
    <row r="12" spans="2:8" x14ac:dyDescent="0.2">
      <c r="B12" s="1" t="str">
        <f>IF('Client Data'!B9&lt;&gt;"",'Client Data'!B9,"")</f>
        <v>CLIENT_TOWN</v>
      </c>
      <c r="C12" s="26"/>
      <c r="E12" s="28" t="str">
        <f>B6</f>
        <v>CLIENT_NAME</v>
      </c>
    </row>
    <row r="13" spans="2:8" x14ac:dyDescent="0.2">
      <c r="B13" s="1" t="str">
        <f>IF('Client Data'!B10&lt;&gt;"",'Client Data'!B10,"")</f>
        <v>CLIENT_POSTCODE</v>
      </c>
      <c r="E13" s="29" t="str">
        <f>'Client Data'!$B$14</f>
        <v>EVENT_DATE</v>
      </c>
    </row>
    <row r="16" spans="2:8" x14ac:dyDescent="0.2">
      <c r="E16" s="3" t="s">
        <v>29</v>
      </c>
    </row>
    <row r="20" spans="2:9" ht="20" customHeight="1" x14ac:dyDescent="0.2">
      <c r="B20" s="17" t="s">
        <v>6</v>
      </c>
      <c r="C20" s="17"/>
      <c r="D20" s="17"/>
      <c r="E20" s="17" t="s">
        <v>33</v>
      </c>
      <c r="F20" s="16" t="s">
        <v>159</v>
      </c>
      <c r="G20" s="24"/>
      <c r="H20" s="24"/>
      <c r="I20" s="25" t="s">
        <v>15</v>
      </c>
    </row>
    <row r="21" spans="2:9" ht="20" customHeight="1" x14ac:dyDescent="0.2">
      <c r="B21" s="31" t="s">
        <v>14</v>
      </c>
      <c r="C21" s="31"/>
      <c r="D21" s="31"/>
      <c r="E21" s="114" t="str">
        <f>'Client Data'!B19</f>
        <v>VENUE_NAME</v>
      </c>
      <c r="F21" s="13" t="str">
        <f>'Client Data'!B27</f>
        <v>AHMEN_FEE</v>
      </c>
      <c r="G21" s="3"/>
      <c r="H21" s="3"/>
      <c r="I21" s="105"/>
    </row>
    <row r="22" spans="2:9" ht="20" customHeight="1" x14ac:dyDescent="0.2">
      <c r="B22" s="120" t="s">
        <v>152</v>
      </c>
      <c r="C22" s="120"/>
      <c r="D22" s="120"/>
      <c r="E22" s="120"/>
      <c r="F22" s="117" t="str">
        <f>'Client Data'!B28</f>
        <v>EXTRA_FEES</v>
      </c>
    </row>
    <row r="23" spans="2:9" ht="20" customHeight="1" x14ac:dyDescent="0.2">
      <c r="B23" s="3" t="s">
        <v>157</v>
      </c>
      <c r="C23" s="3"/>
      <c r="D23" s="3"/>
      <c r="F23" s="117" t="str">
        <f>'Client Data'!B29</f>
        <v>PRODUCTION_FEES</v>
      </c>
      <c r="I23" s="105"/>
    </row>
    <row r="24" spans="2:9" ht="20" customHeight="1" x14ac:dyDescent="0.2">
      <c r="B24" s="3"/>
      <c r="C24" s="3"/>
      <c r="D24" s="3"/>
      <c r="F24" s="3"/>
      <c r="G24" s="3"/>
      <c r="H24" s="3"/>
      <c r="I24" s="9"/>
    </row>
    <row r="25" spans="2:9" ht="20" customHeight="1" x14ac:dyDescent="0.2">
      <c r="B25" s="3"/>
      <c r="C25" s="3"/>
      <c r="D25" s="3"/>
      <c r="F25" s="3"/>
      <c r="G25" s="3"/>
      <c r="H25" s="3"/>
      <c r="I25" s="9"/>
    </row>
    <row r="26" spans="2:9" ht="20" customHeight="1" x14ac:dyDescent="0.2">
      <c r="B26" s="3" t="s">
        <v>158</v>
      </c>
      <c r="C26" s="3"/>
      <c r="D26" s="3"/>
      <c r="F26" s="3"/>
      <c r="G26" s="3"/>
      <c r="H26" s="3"/>
      <c r="I26" s="8" t="str">
        <f>'Client Data'!B32</f>
        <v>BALANCE_AMOUNT</v>
      </c>
    </row>
    <row r="27" spans="2:9" ht="20" customHeight="1" x14ac:dyDescent="0.2">
      <c r="B27" s="3"/>
      <c r="C27" s="3"/>
      <c r="D27" s="3"/>
      <c r="F27" s="3"/>
      <c r="G27" s="3"/>
      <c r="H27" s="3"/>
      <c r="I27" s="8"/>
    </row>
    <row r="28" spans="2:9" ht="20" customHeight="1" x14ac:dyDescent="0.2">
      <c r="B28" s="93"/>
      <c r="C28" s="93"/>
      <c r="D28" s="93"/>
      <c r="E28" s="93"/>
      <c r="F28" s="93"/>
      <c r="G28" s="93"/>
      <c r="H28" s="93"/>
      <c r="I28" s="96"/>
    </row>
    <row r="29" spans="2:9" ht="20" customHeight="1" x14ac:dyDescent="0.2">
      <c r="B29" s="3"/>
      <c r="C29" s="3"/>
      <c r="D29" s="3"/>
      <c r="F29" s="19" t="s">
        <v>7</v>
      </c>
      <c r="G29" s="1"/>
      <c r="H29" s="1"/>
      <c r="I29" s="20">
        <f>SUM(I21:I28)</f>
        <v>0</v>
      </c>
    </row>
    <row r="30" spans="2:9" ht="20" customHeight="1" x14ac:dyDescent="0.2">
      <c r="B30" s="3"/>
      <c r="C30" s="3"/>
      <c r="D30" s="3"/>
      <c r="F30" s="21" t="s">
        <v>13</v>
      </c>
      <c r="G30" s="22"/>
      <c r="H30" s="22"/>
      <c r="I30" s="23">
        <v>0</v>
      </c>
    </row>
    <row r="31" spans="2:9" ht="20" customHeight="1" x14ac:dyDescent="0.2">
      <c r="B31" s="3"/>
      <c r="C31" s="3"/>
      <c r="D31" s="3"/>
      <c r="F31" s="16" t="s">
        <v>27</v>
      </c>
      <c r="G31" s="17"/>
      <c r="H31" s="17"/>
      <c r="I31" s="18">
        <f>SUM(I29:I30)</f>
        <v>0</v>
      </c>
    </row>
    <row r="32" spans="2:9" x14ac:dyDescent="0.2">
      <c r="I32" s="6"/>
    </row>
    <row r="33" spans="2:9" ht="17" x14ac:dyDescent="0.2">
      <c r="B33" s="14" t="s">
        <v>8</v>
      </c>
      <c r="C33" s="15" t="e">
        <f>E13-10</f>
        <v>#VALUE!</v>
      </c>
      <c r="I33" s="6"/>
    </row>
    <row r="34" spans="2:9" x14ac:dyDescent="0.2">
      <c r="B34" s="1"/>
      <c r="I34" s="6"/>
    </row>
    <row r="35" spans="2:9" x14ac:dyDescent="0.2">
      <c r="B35" s="1" t="s">
        <v>26</v>
      </c>
      <c r="I35" s="6"/>
    </row>
    <row r="36" spans="2:9" x14ac:dyDescent="0.2">
      <c r="B36" s="1" t="s">
        <v>9</v>
      </c>
      <c r="I36" s="6"/>
    </row>
    <row r="37" spans="2:9" x14ac:dyDescent="0.2">
      <c r="B37" s="1" t="s">
        <v>10</v>
      </c>
      <c r="I37" s="6"/>
    </row>
    <row r="38" spans="2:9" x14ac:dyDescent="0.2">
      <c r="B38" s="1" t="s">
        <v>11</v>
      </c>
      <c r="I38" s="6"/>
    </row>
    <row r="39" spans="2:9" x14ac:dyDescent="0.2">
      <c r="B39" s="1" t="s">
        <v>12</v>
      </c>
      <c r="I39" s="6"/>
    </row>
    <row r="40" spans="2:9" ht="13" customHeight="1" x14ac:dyDescent="0.2">
      <c r="I40" s="6"/>
    </row>
    <row r="41" spans="2:9" ht="13" customHeight="1" x14ac:dyDescent="0.2">
      <c r="I41" s="6"/>
    </row>
    <row r="42" spans="2:9" ht="13" customHeight="1" x14ac:dyDescent="0.2">
      <c r="I42" s="6"/>
    </row>
    <row r="43" spans="2:9" ht="13" customHeight="1" x14ac:dyDescent="0.2">
      <c r="I43" s="6"/>
    </row>
    <row r="44" spans="2:9" ht="13" customHeight="1" x14ac:dyDescent="0.2">
      <c r="I44" s="6"/>
    </row>
    <row r="45" spans="2:9" ht="13" customHeight="1" x14ac:dyDescent="0.2">
      <c r="I45" s="6"/>
    </row>
    <row r="46" spans="2:9" ht="13" customHeight="1" x14ac:dyDescent="0.2">
      <c r="I46" s="6"/>
    </row>
    <row r="47" spans="2:9" ht="13" customHeight="1" x14ac:dyDescent="0.2">
      <c r="I47" s="6"/>
    </row>
    <row r="48" spans="2:9" ht="13" customHeight="1" x14ac:dyDescent="0.2">
      <c r="I48" s="6"/>
    </row>
    <row r="49" spans="2:9" ht="13" customHeight="1" x14ac:dyDescent="0.2">
      <c r="I49" s="6"/>
    </row>
    <row r="50" spans="2:9" ht="13" customHeight="1" x14ac:dyDescent="0.2">
      <c r="I50" s="6"/>
    </row>
    <row r="51" spans="2:9" ht="13" customHeight="1" x14ac:dyDescent="0.2">
      <c r="I51" s="6"/>
    </row>
    <row r="52" spans="2:9" ht="13" customHeight="1" x14ac:dyDescent="0.2"/>
    <row r="53" spans="2:9" ht="13" customHeight="1" x14ac:dyDescent="0.2"/>
    <row r="54" spans="2:9" x14ac:dyDescent="0.2">
      <c r="B54" s="81"/>
    </row>
  </sheetData>
  <mergeCells count="3">
    <mergeCell ref="B2:C3"/>
    <mergeCell ref="B5:C5"/>
    <mergeCell ref="B22:E22"/>
  </mergeCells>
  <pageMargins left="0.25" right="0.25" top="0.75" bottom="0.75" header="0.3" footer="0.3"/>
  <pageSetup paperSize="9" scale="85" orientation="portrait" horizontalDpi="0" verticalDpi="0"/>
  <headerFooter>
    <oddFooter>&amp;C&amp;"Arial Unicode MS,Regular"&amp;7Company Registration No: 10571250. Registered Office: Flat 2, Alloa Court, 139 Ashfield Road, London, N14 7PE, United Kingdom.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Client Data</vt:lpstr>
      <vt:lpstr>Quote</vt:lpstr>
      <vt:lpstr>Booking Schedule</vt:lpstr>
      <vt:lpstr>T&amp;Cs</vt:lpstr>
      <vt:lpstr>Invoice - deposit</vt:lpstr>
      <vt:lpstr>Invoice - balance</vt:lpstr>
      <vt:lpstr>Name</vt:lpstr>
      <vt:lpstr>'Booking Schedule'!Print_Area</vt:lpstr>
      <vt:lpstr>'Invoice - balance'!Print_Area</vt:lpstr>
      <vt:lpstr>'Invoice - deposit'!Print_Area</vt:lpstr>
      <vt:lpstr>Quote!Print_Area</vt:lpstr>
      <vt:lpstr>'T&amp;Cs'!Print_Area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Motti Cohen</dc:creator>
  <cp:lastModifiedBy>Motti Cohen</cp:lastModifiedBy>
  <cp:lastPrinted>2025-08-17T14:37:45Z</cp:lastPrinted>
  <dcterms:created xsi:type="dcterms:W3CDTF">2025-06-12T12:30:27Z</dcterms:created>
  <dcterms:modified xsi:type="dcterms:W3CDTF">2025-09-25T15:16:33Z</dcterms:modified>
</cp:coreProperties>
</file>